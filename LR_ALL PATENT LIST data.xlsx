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4ABB59CF-EFC5-47CF-8A96-7C59A76C7806}" xr6:coauthVersionLast="47" xr6:coauthVersionMax="47" xr10:uidLastSave="{00000000-0000-0000-0000-000000000000}"/>
  <bookViews>
    <workbookView xWindow="-23148" yWindow="10500" windowWidth="23256" windowHeight="12456"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H89" i="1" l="1"/>
  <c r="AI89" i="1"/>
  <c r="AF89" i="1"/>
  <c r="AD89" i="1"/>
  <c r="AC89" i="1"/>
  <c r="U89" i="1"/>
  <c r="AT89" i="1" s="1"/>
  <c r="S89" i="1"/>
  <c r="AS89" i="1" s="1"/>
  <c r="P89" i="1"/>
  <c r="O89" i="1"/>
  <c r="BH88" i="1"/>
  <c r="AI88" i="1"/>
  <c r="AF88" i="1"/>
  <c r="AD88" i="1"/>
  <c r="AC88" i="1"/>
  <c r="U88" i="1"/>
  <c r="AT88" i="1" s="1"/>
  <c r="S88" i="1"/>
  <c r="AS88" i="1" s="1"/>
  <c r="P88" i="1"/>
  <c r="O88" i="1"/>
  <c r="BH87" i="1"/>
  <c r="AI87" i="1"/>
  <c r="AF87" i="1"/>
  <c r="AD87" i="1"/>
  <c r="AC87" i="1"/>
  <c r="U87" i="1"/>
  <c r="AT87" i="1" s="1"/>
  <c r="S87" i="1"/>
  <c r="AS87" i="1" s="1"/>
  <c r="P87" i="1"/>
  <c r="O87" i="1"/>
  <c r="BH86" i="1"/>
  <c r="AI86" i="1"/>
  <c r="AF86" i="1"/>
  <c r="AD86" i="1"/>
  <c r="AC86" i="1"/>
  <c r="U86" i="1"/>
  <c r="AT86" i="1" s="1"/>
  <c r="S86" i="1"/>
  <c r="AS86" i="1" s="1"/>
  <c r="P86" i="1"/>
  <c r="O86" i="1"/>
  <c r="BH85" i="1"/>
  <c r="AI85" i="1"/>
  <c r="AF85" i="1"/>
  <c r="AD85" i="1"/>
  <c r="AC85" i="1"/>
  <c r="U85" i="1"/>
  <c r="AT85" i="1" s="1"/>
  <c r="S85" i="1"/>
  <c r="AS85" i="1" s="1"/>
  <c r="P85" i="1"/>
  <c r="O85" i="1"/>
  <c r="BH84" i="1"/>
  <c r="AI84" i="1"/>
  <c r="AF84" i="1"/>
  <c r="AD84" i="1"/>
  <c r="AC84" i="1"/>
  <c r="U84" i="1"/>
  <c r="AT84" i="1" s="1"/>
  <c r="S84" i="1"/>
  <c r="AS84" i="1" s="1"/>
  <c r="P84" i="1"/>
  <c r="O84" i="1"/>
  <c r="BH83" i="1"/>
  <c r="AI83" i="1"/>
  <c r="AF83" i="1"/>
  <c r="AD83" i="1"/>
  <c r="U83" i="1"/>
  <c r="AT83" i="1" s="1"/>
  <c r="S83" i="1"/>
  <c r="AS83" i="1" s="1"/>
  <c r="P83" i="1"/>
  <c r="O83" i="1"/>
  <c r="BH82" i="1"/>
  <c r="AI82" i="1"/>
  <c r="AF82" i="1"/>
  <c r="AD82" i="1"/>
  <c r="AC82" i="1"/>
  <c r="U82" i="1"/>
  <c r="AT82" i="1" s="1"/>
  <c r="S82" i="1"/>
  <c r="AS82" i="1" s="1"/>
  <c r="P82" i="1"/>
  <c r="O82" i="1"/>
  <c r="BH81" i="1"/>
  <c r="AI81" i="1"/>
  <c r="AF81" i="1"/>
  <c r="AD81" i="1"/>
  <c r="AC81" i="1"/>
  <c r="U81" i="1"/>
  <c r="AT81" i="1" s="1"/>
  <c r="S81" i="1"/>
  <c r="AS81" i="1" s="1"/>
  <c r="P81" i="1"/>
  <c r="O81" i="1"/>
  <c r="BH80" i="1"/>
  <c r="AI80" i="1"/>
  <c r="AF80" i="1"/>
  <c r="AD80" i="1"/>
  <c r="AC80" i="1"/>
  <c r="U80" i="1"/>
  <c r="AT80" i="1" s="1"/>
  <c r="S80" i="1"/>
  <c r="AS80" i="1" s="1"/>
  <c r="P80" i="1"/>
  <c r="O80" i="1"/>
  <c r="BH79" i="1"/>
  <c r="AI79" i="1"/>
  <c r="AF79" i="1"/>
  <c r="AD79" i="1"/>
  <c r="AC79" i="1"/>
  <c r="U79" i="1"/>
  <c r="AT79" i="1" s="1"/>
  <c r="S79" i="1"/>
  <c r="AS79" i="1" s="1"/>
  <c r="P79" i="1"/>
  <c r="O79" i="1"/>
  <c r="BH78" i="1"/>
  <c r="AI78" i="1"/>
  <c r="AF78" i="1"/>
  <c r="AD78" i="1"/>
  <c r="AC78" i="1"/>
  <c r="U78" i="1"/>
  <c r="AT78" i="1" s="1"/>
  <c r="S78" i="1"/>
  <c r="AS78" i="1" s="1"/>
  <c r="P78" i="1"/>
  <c r="O78" i="1"/>
  <c r="BH77" i="1"/>
  <c r="AI77" i="1"/>
  <c r="AF77" i="1"/>
  <c r="AD77" i="1"/>
  <c r="AC77" i="1"/>
  <c r="U77" i="1"/>
  <c r="AT77" i="1" s="1"/>
  <c r="S77" i="1"/>
  <c r="AS77" i="1" s="1"/>
  <c r="P77" i="1"/>
  <c r="O77" i="1"/>
  <c r="BH76" i="1"/>
  <c r="AI76" i="1"/>
  <c r="AF76" i="1"/>
  <c r="AD76" i="1"/>
  <c r="AC76" i="1"/>
  <c r="U76" i="1"/>
  <c r="AT76" i="1" s="1"/>
  <c r="S76" i="1"/>
  <c r="AS76" i="1" s="1"/>
  <c r="P76" i="1"/>
  <c r="O76" i="1"/>
  <c r="BH75" i="1"/>
  <c r="AI75" i="1"/>
  <c r="AF75" i="1"/>
  <c r="AD75" i="1"/>
  <c r="AC75" i="1"/>
  <c r="U75" i="1"/>
  <c r="AT75" i="1" s="1"/>
  <c r="S75" i="1"/>
  <c r="AS75" i="1" s="1"/>
  <c r="P75" i="1"/>
  <c r="O75" i="1"/>
  <c r="BH74" i="1"/>
  <c r="AI74" i="1"/>
  <c r="AF74" i="1"/>
  <c r="AD74" i="1"/>
  <c r="AC74" i="1"/>
  <c r="U74" i="1"/>
  <c r="AT74" i="1" s="1"/>
  <c r="S74" i="1"/>
  <c r="AS74" i="1" s="1"/>
  <c r="P74" i="1"/>
  <c r="O74" i="1"/>
  <c r="BH73" i="1"/>
  <c r="AI73" i="1"/>
  <c r="AF73" i="1"/>
  <c r="AD73" i="1"/>
  <c r="AC73" i="1"/>
  <c r="U73" i="1"/>
  <c r="AT73" i="1" s="1"/>
  <c r="S73" i="1"/>
  <c r="AS73" i="1" s="1"/>
  <c r="P73" i="1"/>
  <c r="O73" i="1"/>
  <c r="BH72" i="1"/>
  <c r="AI72" i="1"/>
  <c r="AF72" i="1"/>
  <c r="AD72" i="1"/>
  <c r="AC72" i="1"/>
  <c r="U72" i="1"/>
  <c r="AT72" i="1" s="1"/>
  <c r="S72" i="1"/>
  <c r="AS72" i="1" s="1"/>
  <c r="P72" i="1"/>
  <c r="O72" i="1"/>
  <c r="BH71" i="1"/>
  <c r="AI71" i="1"/>
  <c r="AF71" i="1"/>
  <c r="AD71" i="1"/>
  <c r="AC71" i="1"/>
  <c r="U71" i="1"/>
  <c r="AT71" i="1" s="1"/>
  <c r="S71" i="1"/>
  <c r="AS71" i="1" s="1"/>
  <c r="P71" i="1"/>
  <c r="O71" i="1"/>
  <c r="AD70" i="1"/>
  <c r="U70" i="1"/>
  <c r="AT70" i="1" s="1"/>
  <c r="S70" i="1"/>
  <c r="AS70" i="1" s="1"/>
  <c r="P70" i="1"/>
  <c r="BH69" i="1"/>
  <c r="AI69" i="1"/>
  <c r="AF69" i="1"/>
  <c r="AD69" i="1"/>
  <c r="AC69" i="1"/>
  <c r="U69" i="1"/>
  <c r="AT69" i="1" s="1"/>
  <c r="S69" i="1"/>
  <c r="AS69" i="1" s="1"/>
  <c r="P69" i="1"/>
  <c r="O69" i="1"/>
  <c r="BH68" i="1"/>
  <c r="AI68" i="1"/>
  <c r="AF68" i="1"/>
  <c r="AD68" i="1"/>
  <c r="AC68" i="1"/>
  <c r="U68" i="1"/>
  <c r="AT68" i="1" s="1"/>
  <c r="S68" i="1"/>
  <c r="AS68" i="1" s="1"/>
  <c r="P68" i="1"/>
  <c r="O68" i="1"/>
  <c r="BH67" i="1"/>
  <c r="AI67" i="1"/>
  <c r="AF67" i="1"/>
  <c r="AD67" i="1"/>
  <c r="AC67" i="1"/>
  <c r="U67" i="1"/>
  <c r="AT67" i="1" s="1"/>
  <c r="S67" i="1"/>
  <c r="AS67" i="1" s="1"/>
  <c r="P67" i="1"/>
  <c r="O67" i="1"/>
  <c r="BH66" i="1"/>
  <c r="AI66" i="1"/>
  <c r="AF66" i="1"/>
  <c r="AD66" i="1"/>
  <c r="AC66" i="1"/>
  <c r="U66" i="1"/>
  <c r="AT66" i="1" s="1"/>
  <c r="S66" i="1"/>
  <c r="AS66" i="1" s="1"/>
  <c r="P66" i="1"/>
  <c r="O66" i="1"/>
  <c r="BH65" i="1"/>
  <c r="AI65" i="1"/>
  <c r="AF65" i="1"/>
  <c r="AD65" i="1"/>
  <c r="AC65" i="1"/>
  <c r="U65" i="1"/>
  <c r="AT65" i="1" s="1"/>
  <c r="S65" i="1"/>
  <c r="AS65" i="1" s="1"/>
  <c r="P65" i="1"/>
  <c r="O65" i="1"/>
  <c r="BH64" i="1"/>
  <c r="AI64" i="1"/>
  <c r="AF64" i="1"/>
  <c r="AD64" i="1"/>
  <c r="AC64" i="1"/>
  <c r="U64" i="1"/>
  <c r="AT64" i="1" s="1"/>
  <c r="S64" i="1"/>
  <c r="AS64" i="1" s="1"/>
  <c r="P64" i="1"/>
  <c r="O64" i="1"/>
  <c r="BH63" i="1"/>
  <c r="AI63" i="1"/>
  <c r="AF63" i="1"/>
  <c r="AD63" i="1"/>
  <c r="AC63" i="1"/>
  <c r="U63" i="1"/>
  <c r="AT63" i="1" s="1"/>
  <c r="S63" i="1"/>
  <c r="AS63" i="1" s="1"/>
  <c r="P63" i="1"/>
  <c r="O63" i="1"/>
  <c r="BH62" i="1"/>
  <c r="AI62" i="1"/>
  <c r="AF62" i="1"/>
  <c r="AD62" i="1"/>
  <c r="AC62" i="1"/>
  <c r="U62" i="1"/>
  <c r="AT62" i="1" s="1"/>
  <c r="S62" i="1"/>
  <c r="AS62" i="1" s="1"/>
  <c r="P62" i="1"/>
  <c r="O62" i="1"/>
  <c r="BH61" i="1"/>
  <c r="AI61" i="1"/>
  <c r="AF61" i="1"/>
  <c r="AD61" i="1"/>
  <c r="AC61" i="1"/>
  <c r="U61" i="1"/>
  <c r="AT61" i="1" s="1"/>
  <c r="S61" i="1"/>
  <c r="AS61" i="1" s="1"/>
  <c r="P61" i="1"/>
  <c r="O61" i="1"/>
  <c r="BH60" i="1"/>
  <c r="AI60" i="1"/>
  <c r="AF60" i="1"/>
  <c r="AD60" i="1"/>
  <c r="AC60" i="1"/>
  <c r="U60" i="1"/>
  <c r="AT60" i="1" s="1"/>
  <c r="S60" i="1"/>
  <c r="AS60" i="1" s="1"/>
  <c r="P60" i="1"/>
  <c r="O60" i="1"/>
  <c r="BH59" i="1"/>
  <c r="AI59" i="1"/>
  <c r="AF59" i="1"/>
  <c r="AD59" i="1"/>
  <c r="AC59" i="1"/>
  <c r="U59" i="1"/>
  <c r="AT59" i="1" s="1"/>
  <c r="S59" i="1"/>
  <c r="AS59" i="1" s="1"/>
  <c r="P59" i="1"/>
  <c r="O59" i="1"/>
  <c r="BH58" i="1"/>
  <c r="AI58" i="1"/>
  <c r="AF58" i="1"/>
  <c r="AD58" i="1"/>
  <c r="AC58" i="1"/>
  <c r="U58" i="1"/>
  <c r="AT58" i="1" s="1"/>
  <c r="S58" i="1"/>
  <c r="AS58" i="1" s="1"/>
  <c r="P58" i="1"/>
  <c r="O58" i="1"/>
  <c r="BH57" i="1"/>
  <c r="AI57" i="1"/>
  <c r="AF57" i="1"/>
  <c r="AD57" i="1"/>
  <c r="AC57" i="1"/>
  <c r="U57" i="1"/>
  <c r="AT57" i="1" s="1"/>
  <c r="S57" i="1"/>
  <c r="AS57" i="1" s="1"/>
  <c r="P57" i="1"/>
  <c r="O57" i="1"/>
  <c r="BH56" i="1"/>
  <c r="AI56" i="1"/>
  <c r="AF56" i="1"/>
  <c r="AD56" i="1"/>
  <c r="AC56" i="1"/>
  <c r="U56" i="1"/>
  <c r="AT56" i="1" s="1"/>
  <c r="S56" i="1"/>
  <c r="AS56" i="1" s="1"/>
  <c r="P56" i="1"/>
  <c r="O56" i="1"/>
  <c r="BH55" i="1"/>
  <c r="AI55" i="1"/>
  <c r="AF55" i="1"/>
  <c r="AD55" i="1"/>
  <c r="AC55" i="1"/>
  <c r="U55" i="1"/>
  <c r="AT55" i="1" s="1"/>
  <c r="S55" i="1"/>
  <c r="AS55" i="1" s="1"/>
  <c r="P55" i="1"/>
  <c r="O55" i="1"/>
  <c r="BH54" i="1"/>
  <c r="AI54" i="1"/>
  <c r="AF54" i="1"/>
  <c r="AD54" i="1"/>
  <c r="AC54" i="1"/>
  <c r="U54" i="1"/>
  <c r="AT54" i="1" s="1"/>
  <c r="S54" i="1"/>
  <c r="AS54" i="1" s="1"/>
  <c r="P54" i="1"/>
  <c r="O54" i="1"/>
  <c r="BH53" i="1"/>
  <c r="AI53" i="1"/>
  <c r="AF53" i="1"/>
  <c r="AD53" i="1"/>
  <c r="AC53" i="1"/>
  <c r="U53" i="1"/>
  <c r="AT53" i="1" s="1"/>
  <c r="S53" i="1"/>
  <c r="AS53" i="1" s="1"/>
  <c r="P53" i="1"/>
  <c r="O53" i="1"/>
  <c r="BH52" i="1"/>
  <c r="AI52" i="1"/>
  <c r="AF52" i="1"/>
  <c r="AD52" i="1"/>
  <c r="AC52" i="1"/>
  <c r="U52" i="1"/>
  <c r="AT52" i="1" s="1"/>
  <c r="S52" i="1"/>
  <c r="AS52" i="1" s="1"/>
  <c r="P52" i="1"/>
  <c r="O52" i="1"/>
  <c r="BH51" i="1"/>
  <c r="AI51" i="1"/>
  <c r="AF51" i="1"/>
  <c r="AD51" i="1"/>
  <c r="AC51" i="1"/>
  <c r="U51" i="1"/>
  <c r="AT51" i="1" s="1"/>
  <c r="S51" i="1"/>
  <c r="AS51" i="1" s="1"/>
  <c r="P51" i="1"/>
  <c r="O51" i="1"/>
  <c r="BH50" i="1"/>
  <c r="AI50" i="1"/>
  <c r="AF50" i="1"/>
  <c r="AD50" i="1"/>
  <c r="AC50" i="1"/>
  <c r="U50" i="1"/>
  <c r="AT50" i="1" s="1"/>
  <c r="S50" i="1"/>
  <c r="AS50" i="1" s="1"/>
  <c r="P50" i="1"/>
  <c r="O50" i="1"/>
  <c r="BH49" i="1"/>
  <c r="AI49" i="1"/>
  <c r="AF49" i="1"/>
  <c r="AD49" i="1"/>
  <c r="AC49" i="1"/>
  <c r="U49" i="1"/>
  <c r="AT49" i="1" s="1"/>
  <c r="S49" i="1"/>
  <c r="AS49" i="1" s="1"/>
  <c r="P49" i="1"/>
  <c r="O49" i="1"/>
  <c r="BH48" i="1"/>
  <c r="AI48" i="1"/>
  <c r="AF48" i="1"/>
  <c r="AD48" i="1"/>
  <c r="AC48" i="1"/>
  <c r="U48" i="1"/>
  <c r="AT48" i="1" s="1"/>
  <c r="S48" i="1"/>
  <c r="AS48" i="1" s="1"/>
  <c r="P48" i="1"/>
  <c r="O48" i="1"/>
  <c r="BH47" i="1"/>
  <c r="AI47" i="1"/>
  <c r="AF47" i="1"/>
  <c r="AD47" i="1"/>
  <c r="AC47" i="1"/>
  <c r="U47" i="1"/>
  <c r="AT47" i="1" s="1"/>
  <c r="S47" i="1"/>
  <c r="AS47" i="1" s="1"/>
  <c r="P47" i="1"/>
  <c r="O47" i="1"/>
  <c r="BH46" i="1"/>
  <c r="AI46" i="1"/>
  <c r="AF46" i="1"/>
  <c r="AD46" i="1"/>
  <c r="AC46" i="1"/>
  <c r="U46" i="1"/>
  <c r="AT46" i="1" s="1"/>
  <c r="S46" i="1"/>
  <c r="AS46" i="1" s="1"/>
  <c r="P46" i="1"/>
  <c r="O46" i="1"/>
  <c r="BH45" i="1"/>
  <c r="AI45" i="1"/>
  <c r="AF45" i="1"/>
  <c r="AD45" i="1"/>
  <c r="AC45" i="1"/>
  <c r="U45" i="1"/>
  <c r="AT45" i="1" s="1"/>
  <c r="S45" i="1"/>
  <c r="AS45" i="1" s="1"/>
  <c r="P45" i="1"/>
  <c r="O45" i="1"/>
  <c r="BH44" i="1"/>
  <c r="AI44" i="1"/>
  <c r="AF44" i="1"/>
  <c r="AD44" i="1"/>
  <c r="AC44" i="1"/>
  <c r="U44" i="1"/>
  <c r="AT44" i="1" s="1"/>
  <c r="S44" i="1"/>
  <c r="AS44" i="1" s="1"/>
  <c r="P44" i="1"/>
  <c r="O44" i="1"/>
  <c r="BH43" i="1"/>
  <c r="AI43" i="1"/>
  <c r="AF43" i="1"/>
  <c r="AD43" i="1"/>
  <c r="AC43" i="1"/>
  <c r="U43" i="1"/>
  <c r="AT43" i="1" s="1"/>
  <c r="S43" i="1"/>
  <c r="AS43" i="1" s="1"/>
  <c r="P43" i="1"/>
  <c r="O43" i="1"/>
  <c r="BH42" i="1"/>
  <c r="AI42" i="1"/>
  <c r="AF42" i="1"/>
  <c r="AD42" i="1"/>
  <c r="AC42" i="1"/>
  <c r="U42" i="1"/>
  <c r="AT42" i="1" s="1"/>
  <c r="S42" i="1"/>
  <c r="AS42" i="1" s="1"/>
  <c r="P42" i="1"/>
  <c r="O42" i="1"/>
  <c r="BH41" i="1"/>
  <c r="AI41" i="1"/>
  <c r="AF41" i="1"/>
  <c r="AD41" i="1"/>
  <c r="AC41" i="1"/>
  <c r="U41" i="1"/>
  <c r="AT41" i="1" s="1"/>
  <c r="S41" i="1"/>
  <c r="AS41" i="1" s="1"/>
  <c r="P41" i="1"/>
  <c r="O41" i="1"/>
  <c r="BH40" i="1"/>
  <c r="AI40" i="1"/>
  <c r="AF40" i="1"/>
  <c r="AD40" i="1"/>
  <c r="AC40" i="1"/>
  <c r="U40" i="1"/>
  <c r="AT40" i="1" s="1"/>
  <c r="S40" i="1"/>
  <c r="AS40" i="1" s="1"/>
  <c r="P40" i="1"/>
  <c r="O40" i="1"/>
  <c r="BH39" i="1"/>
  <c r="AI39" i="1"/>
  <c r="AF39" i="1"/>
  <c r="AD39" i="1"/>
  <c r="AC39" i="1"/>
  <c r="U39" i="1"/>
  <c r="AT39" i="1" s="1"/>
  <c r="S39" i="1"/>
  <c r="AS39" i="1" s="1"/>
  <c r="P39" i="1"/>
  <c r="O39" i="1"/>
  <c r="BH38" i="1"/>
  <c r="AI38" i="1"/>
  <c r="AF38" i="1"/>
  <c r="AD38" i="1"/>
  <c r="AC38" i="1"/>
  <c r="U38" i="1"/>
  <c r="AT38" i="1" s="1"/>
  <c r="S38" i="1"/>
  <c r="AS38" i="1" s="1"/>
  <c r="P38" i="1"/>
  <c r="O38" i="1"/>
  <c r="BH37" i="1"/>
  <c r="AI37" i="1"/>
  <c r="AF37" i="1"/>
  <c r="AD37" i="1"/>
  <c r="AC37" i="1"/>
  <c r="U37" i="1"/>
  <c r="AT37" i="1" s="1"/>
  <c r="S37" i="1"/>
  <c r="AS37" i="1" s="1"/>
  <c r="P37" i="1"/>
  <c r="O37" i="1"/>
  <c r="BH36" i="1"/>
  <c r="AI36" i="1"/>
  <c r="AF36" i="1"/>
  <c r="AD36" i="1"/>
  <c r="AC36" i="1"/>
  <c r="U36" i="1"/>
  <c r="AT36" i="1" s="1"/>
  <c r="S36" i="1"/>
  <c r="AS36" i="1" s="1"/>
  <c r="P36" i="1"/>
  <c r="O36" i="1"/>
  <c r="BH35" i="1"/>
  <c r="AI35" i="1"/>
  <c r="AF35" i="1"/>
  <c r="AD35" i="1"/>
  <c r="AC35" i="1"/>
  <c r="U35" i="1"/>
  <c r="AT35" i="1" s="1"/>
  <c r="S35" i="1"/>
  <c r="AS35" i="1" s="1"/>
  <c r="P35" i="1"/>
  <c r="O35" i="1"/>
  <c r="BH34" i="1"/>
  <c r="AI34" i="1"/>
  <c r="AF34" i="1"/>
  <c r="AD34" i="1"/>
  <c r="AC34" i="1"/>
  <c r="U34" i="1"/>
  <c r="AT34" i="1" s="1"/>
  <c r="S34" i="1"/>
  <c r="AS34" i="1" s="1"/>
  <c r="P34" i="1"/>
  <c r="O34" i="1"/>
  <c r="BH33" i="1"/>
  <c r="AI33" i="1"/>
  <c r="AF33" i="1"/>
  <c r="AD33" i="1"/>
  <c r="AC33" i="1"/>
  <c r="U33" i="1"/>
  <c r="AT33" i="1" s="1"/>
  <c r="S33" i="1"/>
  <c r="AS33" i="1" s="1"/>
  <c r="P33" i="1"/>
  <c r="O33" i="1"/>
  <c r="BH32" i="1"/>
  <c r="AI32" i="1"/>
  <c r="AF32" i="1"/>
  <c r="AD32" i="1"/>
  <c r="AC32" i="1"/>
  <c r="U32" i="1"/>
  <c r="AT32" i="1" s="1"/>
  <c r="S32" i="1"/>
  <c r="AS32" i="1" s="1"/>
  <c r="P32" i="1"/>
  <c r="O32" i="1"/>
  <c r="BH31" i="1"/>
  <c r="AI31" i="1"/>
  <c r="AF31" i="1"/>
  <c r="AD31" i="1"/>
  <c r="AC31" i="1"/>
  <c r="U31" i="1"/>
  <c r="AT31" i="1" s="1"/>
  <c r="S31" i="1"/>
  <c r="AS31" i="1" s="1"/>
  <c r="P31" i="1"/>
  <c r="O31" i="1"/>
  <c r="BH30" i="1"/>
  <c r="AI30" i="1"/>
  <c r="AF30" i="1"/>
  <c r="AD30" i="1"/>
  <c r="AC30" i="1"/>
  <c r="U30" i="1"/>
  <c r="AT30" i="1" s="1"/>
  <c r="S30" i="1"/>
  <c r="AS30" i="1" s="1"/>
  <c r="P30" i="1"/>
  <c r="O30" i="1"/>
  <c r="BH29" i="1"/>
  <c r="AI29" i="1"/>
  <c r="AF29" i="1"/>
  <c r="AD29" i="1"/>
  <c r="AC29" i="1"/>
  <c r="U29" i="1"/>
  <c r="AT29" i="1" s="1"/>
  <c r="S29" i="1"/>
  <c r="AS29" i="1" s="1"/>
  <c r="P29" i="1"/>
  <c r="O29" i="1"/>
  <c r="BH28" i="1"/>
  <c r="AI28" i="1"/>
  <c r="AF28" i="1"/>
  <c r="AD28" i="1"/>
  <c r="AC28" i="1"/>
  <c r="U28" i="1"/>
  <c r="AT28" i="1" s="1"/>
  <c r="S28" i="1"/>
  <c r="AS28" i="1" s="1"/>
  <c r="P28" i="1"/>
  <c r="O28" i="1"/>
  <c r="BH27" i="1"/>
  <c r="AI27" i="1"/>
  <c r="AF27" i="1"/>
  <c r="AD27" i="1"/>
  <c r="AC27" i="1"/>
  <c r="U27" i="1"/>
  <c r="AT27" i="1" s="1"/>
  <c r="S27" i="1"/>
  <c r="AS27" i="1" s="1"/>
  <c r="P27" i="1"/>
  <c r="O27" i="1"/>
  <c r="BH26" i="1"/>
  <c r="AI26" i="1"/>
  <c r="AF26" i="1"/>
  <c r="AD26" i="1"/>
  <c r="AC26" i="1"/>
  <c r="U26" i="1"/>
  <c r="AT26" i="1" s="1"/>
  <c r="S26" i="1"/>
  <c r="AS26" i="1" s="1"/>
  <c r="P26" i="1"/>
  <c r="O26" i="1"/>
  <c r="BH25" i="1"/>
  <c r="AI25" i="1"/>
  <c r="AF25" i="1"/>
  <c r="AD25" i="1"/>
  <c r="AC25" i="1"/>
  <c r="U25" i="1"/>
  <c r="AT25" i="1" s="1"/>
  <c r="S25" i="1"/>
  <c r="AS25" i="1" s="1"/>
  <c r="P25" i="1"/>
  <c r="O25" i="1"/>
  <c r="BH24" i="1"/>
  <c r="AI24" i="1"/>
  <c r="AF24" i="1"/>
  <c r="AD24" i="1"/>
  <c r="AC24" i="1"/>
  <c r="U24" i="1"/>
  <c r="AT24" i="1" s="1"/>
  <c r="S24" i="1"/>
  <c r="AS24" i="1" s="1"/>
  <c r="P24" i="1"/>
  <c r="O24" i="1"/>
  <c r="BH23" i="1"/>
  <c r="AI23" i="1"/>
  <c r="AF23" i="1"/>
  <c r="AD23" i="1"/>
  <c r="AC23" i="1"/>
  <c r="U23" i="1"/>
  <c r="AT23" i="1" s="1"/>
  <c r="S23" i="1"/>
  <c r="AS23" i="1" s="1"/>
  <c r="P23" i="1"/>
  <c r="O23" i="1"/>
  <c r="BH22" i="1"/>
  <c r="AI22" i="1"/>
  <c r="AF22" i="1"/>
  <c r="AD22" i="1"/>
  <c r="AC22" i="1"/>
  <c r="U22" i="1"/>
  <c r="AT22" i="1" s="1"/>
  <c r="S22" i="1"/>
  <c r="AS22" i="1" s="1"/>
  <c r="P22" i="1"/>
  <c r="O22" i="1"/>
  <c r="BH21" i="1"/>
  <c r="AI21" i="1"/>
  <c r="AF21" i="1"/>
  <c r="AD21" i="1"/>
  <c r="AC21" i="1"/>
  <c r="U21" i="1"/>
  <c r="AT21" i="1" s="1"/>
  <c r="S21" i="1"/>
  <c r="AS21" i="1" s="1"/>
  <c r="P21" i="1"/>
  <c r="O21" i="1"/>
  <c r="BH20" i="1"/>
  <c r="AI20" i="1"/>
  <c r="AF20" i="1"/>
  <c r="AD20" i="1"/>
  <c r="AC20" i="1"/>
  <c r="U20" i="1"/>
  <c r="AT20" i="1" s="1"/>
  <c r="S20" i="1"/>
  <c r="AS20" i="1" s="1"/>
  <c r="P20" i="1"/>
  <c r="O20" i="1"/>
  <c r="BH19" i="1"/>
  <c r="AI19" i="1"/>
  <c r="AF19" i="1"/>
  <c r="AD19" i="1"/>
  <c r="AC19" i="1"/>
  <c r="U19" i="1"/>
  <c r="AT19" i="1" s="1"/>
  <c r="S19" i="1"/>
  <c r="AS19" i="1" s="1"/>
  <c r="P19" i="1"/>
  <c r="O19" i="1"/>
  <c r="BH18" i="1"/>
  <c r="AI18" i="1"/>
  <c r="AF18" i="1"/>
  <c r="AD18" i="1"/>
  <c r="AC18" i="1"/>
  <c r="U18" i="1"/>
  <c r="AT18" i="1" s="1"/>
  <c r="S18" i="1"/>
  <c r="AS18" i="1" s="1"/>
  <c r="P18" i="1"/>
  <c r="O18" i="1"/>
  <c r="BH17" i="1"/>
  <c r="AI17" i="1"/>
  <c r="AF17" i="1"/>
  <c r="AD17" i="1"/>
  <c r="AC17" i="1"/>
  <c r="U17" i="1"/>
  <c r="AT17" i="1" s="1"/>
  <c r="S17" i="1"/>
  <c r="AS17" i="1" s="1"/>
  <c r="P17" i="1"/>
  <c r="O17" i="1"/>
  <c r="BH16" i="1"/>
  <c r="AI16" i="1"/>
  <c r="AF16" i="1"/>
  <c r="AD16" i="1"/>
  <c r="AC16" i="1"/>
  <c r="U16" i="1"/>
  <c r="AT16" i="1" s="1"/>
  <c r="S16" i="1"/>
  <c r="AS16" i="1" s="1"/>
  <c r="P16" i="1"/>
  <c r="O16" i="1"/>
  <c r="BH15" i="1"/>
  <c r="AI15" i="1"/>
  <c r="AF15" i="1"/>
  <c r="AD15" i="1"/>
  <c r="AC15" i="1"/>
  <c r="U15" i="1"/>
  <c r="AT15" i="1" s="1"/>
  <c r="S15" i="1"/>
  <c r="AS15" i="1" s="1"/>
  <c r="P15" i="1"/>
  <c r="O15" i="1"/>
  <c r="BH14" i="1"/>
  <c r="AI14" i="1"/>
  <c r="AF14" i="1"/>
  <c r="AD14" i="1"/>
  <c r="AC14" i="1"/>
  <c r="U14" i="1"/>
  <c r="AT14" i="1" s="1"/>
  <c r="S14" i="1"/>
  <c r="AS14" i="1" s="1"/>
  <c r="P14" i="1"/>
  <c r="O14" i="1"/>
  <c r="BH13" i="1"/>
  <c r="AI13" i="1"/>
  <c r="AF13" i="1"/>
  <c r="AD13" i="1"/>
  <c r="AC13" i="1"/>
  <c r="U13" i="1"/>
  <c r="AT13" i="1" s="1"/>
  <c r="S13" i="1"/>
  <c r="AS13" i="1" s="1"/>
  <c r="P13" i="1"/>
  <c r="O13" i="1"/>
  <c r="BH12" i="1"/>
  <c r="AI12" i="1"/>
  <c r="AF12" i="1"/>
  <c r="AD12" i="1"/>
  <c r="AC12" i="1"/>
  <c r="U12" i="1"/>
  <c r="AT12" i="1" s="1"/>
  <c r="S12" i="1"/>
  <c r="AS12" i="1" s="1"/>
  <c r="P12" i="1"/>
  <c r="O12" i="1"/>
  <c r="BH11" i="1"/>
  <c r="AI11" i="1"/>
  <c r="AF11" i="1"/>
  <c r="AD11" i="1"/>
  <c r="AC11" i="1"/>
  <c r="U11" i="1"/>
  <c r="AT11" i="1" s="1"/>
  <c r="S11" i="1"/>
  <c r="AS11" i="1" s="1"/>
  <c r="P11" i="1"/>
  <c r="O11" i="1"/>
  <c r="BH10" i="1"/>
  <c r="AI10" i="1"/>
  <c r="AF10" i="1"/>
  <c r="AD10" i="1"/>
  <c r="AC10" i="1"/>
  <c r="U10" i="1"/>
  <c r="AT10" i="1" s="1"/>
  <c r="S10" i="1"/>
  <c r="AS10" i="1" s="1"/>
  <c r="P10" i="1"/>
  <c r="O10" i="1"/>
  <c r="BH9" i="1"/>
  <c r="AI9" i="1"/>
  <c r="AF9" i="1"/>
  <c r="AD9" i="1"/>
  <c r="AC9" i="1"/>
  <c r="U9" i="1"/>
  <c r="AT9" i="1" s="1"/>
  <c r="S9" i="1"/>
  <c r="AS9" i="1" s="1"/>
  <c r="P9" i="1"/>
  <c r="O9" i="1"/>
  <c r="BH8" i="1"/>
  <c r="AI8" i="1"/>
  <c r="AF8" i="1"/>
  <c r="AD8" i="1"/>
  <c r="AC8" i="1"/>
  <c r="U8" i="1"/>
  <c r="AT8" i="1" s="1"/>
  <c r="S8" i="1"/>
  <c r="AS8" i="1" s="1"/>
  <c r="P8" i="1"/>
  <c r="O8" i="1"/>
  <c r="BH7" i="1"/>
  <c r="AI7" i="1"/>
  <c r="AF7" i="1"/>
  <c r="AD7" i="1"/>
  <c r="AC7" i="1"/>
  <c r="U7" i="1"/>
  <c r="AT7" i="1" s="1"/>
  <c r="S7" i="1"/>
  <c r="AS7" i="1" s="1"/>
  <c r="P7" i="1"/>
  <c r="O7" i="1"/>
  <c r="BH6" i="1"/>
  <c r="AI6" i="1"/>
  <c r="AF6" i="1"/>
  <c r="AD6" i="1"/>
  <c r="AC6" i="1"/>
  <c r="U6" i="1"/>
  <c r="AT6" i="1" s="1"/>
  <c r="S6" i="1"/>
  <c r="AS6" i="1" s="1"/>
  <c r="P6" i="1"/>
  <c r="O6" i="1"/>
  <c r="BH5" i="1"/>
  <c r="AI5" i="1"/>
  <c r="AF5" i="1"/>
  <c r="AD5" i="1"/>
  <c r="AC5" i="1"/>
  <c r="U5" i="1"/>
  <c r="AT5" i="1" s="1"/>
  <c r="S5" i="1"/>
  <c r="AS5" i="1" s="1"/>
  <c r="P5" i="1"/>
  <c r="O5" i="1"/>
  <c r="BH4" i="1"/>
  <c r="AI4" i="1"/>
  <c r="AF4" i="1"/>
  <c r="AD4" i="1"/>
  <c r="AC4" i="1"/>
  <c r="U4" i="1"/>
  <c r="AT4" i="1" s="1"/>
  <c r="S4" i="1"/>
  <c r="AS4" i="1" s="1"/>
  <c r="P4" i="1"/>
  <c r="O4" i="1"/>
  <c r="BH3" i="1"/>
  <c r="AI3" i="1"/>
  <c r="AF3" i="1"/>
  <c r="AD3" i="1"/>
  <c r="AC3" i="1"/>
  <c r="U3" i="1"/>
  <c r="AT3" i="1" s="1"/>
  <c r="S3" i="1"/>
  <c r="AS3" i="1" s="1"/>
  <c r="P3" i="1"/>
  <c r="O3" i="1"/>
  <c r="BH2" i="1"/>
  <c r="AI2" i="1"/>
  <c r="AF2" i="1"/>
  <c r="AD2" i="1"/>
  <c r="AC2" i="1"/>
  <c r="U2" i="1"/>
  <c r="AT2" i="1" s="1"/>
  <c r="S2" i="1"/>
  <c r="AS2" i="1" s="1"/>
  <c r="P2" i="1"/>
  <c r="O2" i="1"/>
</calcChain>
</file>

<file path=xl/sharedStrings.xml><?xml version="1.0" encoding="utf-8"?>
<sst xmlns="http://schemas.openxmlformats.org/spreadsheetml/2006/main" count="1909" uniqueCount="544">
  <si>
    <t>Code</t>
  </si>
  <si>
    <t>Title</t>
  </si>
  <si>
    <t>Applicant Name</t>
  </si>
  <si>
    <t xml:space="preserve">
Applicant address
</t>
  </si>
  <si>
    <t>Inventor Name</t>
  </si>
  <si>
    <t>Inventor address</t>
  </si>
  <si>
    <t>INVENTOR Institution</t>
  </si>
  <si>
    <t>Inventor Designation</t>
  </si>
  <si>
    <t>Inventor Email</t>
  </si>
  <si>
    <t>Phone No.</t>
  </si>
  <si>
    <t>Application Number</t>
  </si>
  <si>
    <t>date of filing (PS)</t>
  </si>
  <si>
    <t>Post-Dated Date</t>
  </si>
  <si>
    <t>POST DATE ALLOWED</t>
  </si>
  <si>
    <t>Remaining Post-Date Months</t>
  </si>
  <si>
    <t>CS DEADLINE</t>
  </si>
  <si>
    <t>Date of filing (CS)</t>
  </si>
  <si>
    <t>APPLICATION FILING RECEIPT</t>
  </si>
  <si>
    <t>Form-1 deadline</t>
  </si>
  <si>
    <t>Form-1 date of filing</t>
  </si>
  <si>
    <t>Form 26 Deadline</t>
  </si>
  <si>
    <t>Form-26 date of filing</t>
  </si>
  <si>
    <t xml:space="preserve">Assigned to </t>
  </si>
  <si>
    <t>Form-9 date of filing</t>
  </si>
  <si>
    <t>Form 13 date of filing</t>
  </si>
  <si>
    <t>Form 13 Particulars</t>
  </si>
  <si>
    <t>Form-18/18A date of filing</t>
  </si>
  <si>
    <t>Date of Publication</t>
  </si>
  <si>
    <t>Helper(Publication</t>
  </si>
  <si>
    <t>Publication number</t>
  </si>
  <si>
    <t>Date of FER Notice</t>
  </si>
  <si>
    <t>FER Reply Deadline</t>
  </si>
  <si>
    <t>Date of filing FER Reply</t>
  </si>
  <si>
    <t>FORM 3 date of filing</t>
  </si>
  <si>
    <t>FORM 3 deadline</t>
  </si>
  <si>
    <t>Date of Hearing notice</t>
  </si>
  <si>
    <t>Date of hearing</t>
  </si>
  <si>
    <t>WS Deadline</t>
  </si>
  <si>
    <t>Date of filing WS</t>
  </si>
  <si>
    <t>Date of Grant</t>
  </si>
  <si>
    <t>Form 27 Date of filing</t>
  </si>
  <si>
    <t>Date of refusal</t>
  </si>
  <si>
    <t>Date of Renewal</t>
  </si>
  <si>
    <t>Date of Next Renewal</t>
  </si>
  <si>
    <t>F1 Delayed by</t>
  </si>
  <si>
    <t>F26 Delayed by</t>
  </si>
  <si>
    <t>Form 6- Date of Filing</t>
  </si>
  <si>
    <t>Form 4 FER Date of filing</t>
  </si>
  <si>
    <t>Form 4 for WS Date of filing</t>
  </si>
  <si>
    <t>Form 4 for Form 3</t>
  </si>
  <si>
    <t>Form 8 Date of filing</t>
  </si>
  <si>
    <t>Form 8A Date of filling</t>
  </si>
  <si>
    <t>Form 24 Date of filing</t>
  </si>
  <si>
    <t>Form 30 respose to office action</t>
  </si>
  <si>
    <t>Form 30 Withdrawal</t>
  </si>
  <si>
    <t>Petition under 137</t>
  </si>
  <si>
    <t>Petition under 138</t>
  </si>
  <si>
    <t>Form 30 hearing Intrest</t>
  </si>
  <si>
    <t>Color Code Status</t>
  </si>
  <si>
    <t>STATUS</t>
  </si>
  <si>
    <t>Filed BY</t>
  </si>
  <si>
    <t>AR05</t>
  </si>
  <si>
    <t>AR01</t>
  </si>
  <si>
    <t xml:space="preserve">        A SYSTEM AND METHOD FOR ENHANCING VEHICLE SECURITY THROUGH INTEGRATED FINGERPRINT AND IRIS BIOMETRICS</t>
  </si>
  <si>
    <t xml:space="preserve">        3D QUANTITATIVE PHASE IMAGING METHOD FOR DIFFERENTIATING NORMAL AND ABNORMAL RED BLOOD CELLS</t>
  </si>
  <si>
    <t>Manipal Academy of
Higher Education</t>
  </si>
  <si>
    <t>1. Madala chaitanya sai
 2. Vishnu G Nair
 3. Srinivas G</t>
  </si>
  <si>
    <t>Madhav Nagar, Manipal, 576104,Karnataka, India</t>
  </si>
  <si>
    <t>1. Associate Professor, Department
of Atomic &amp; Molecular Physics,
Manipal Academy of Higher
Education, Manipal, 576104,
Karnataka, India 
2. Department of Atomic &amp;
Molecular Physics, Manipal
Academy of Higher Education,
Manipal, 576104, Karnataka,
India 
3. Additional Professor &amp; Head
Department of Medical
Laboratory Technology
Manipal College of Health
Professions Manipal Academy of
Higher Education, Manipal,
576104, Karnataka, India</t>
  </si>
  <si>
    <t xml:space="preserve">1. Department of Aeronautical and Automobile
Engineering, Manipal Institute of Technology,
Manipal Academy of Higher Education,
Manipal,576104, Karnataka, India, 
 2. Department of Aeronautical and Automobile
Engineering, Manipal Institute of Technology,
Manipal Academy of Higher Education,
Manipal,576104, Karnataka, India, 
 3. Department of Aeronautical and Automobile
Engineering, Manipal Institute of Technology,
Manipal Academy of Higher Education,
Manipal,576104, Karnataka, India </t>
  </si>
  <si>
    <t>1. MIAP
2. MAHE
3. MCHP</t>
  </si>
  <si>
    <t>AR04</t>
  </si>
  <si>
    <t>Associate professor,
Research scholar
Additional professor and head</t>
  </si>
  <si>
    <t>ajeetkumar.p@manipal.edu</t>
  </si>
  <si>
    <t>1. MIT
2. MIT
3. MIT</t>
  </si>
  <si>
    <t>NA</t>
  </si>
  <si>
    <t>BIOINK COMPOSITION FOR 3D BIOPRINTING IN VITRO TISSUE SCAFFOLDS</t>
  </si>
  <si>
    <t>Manipal Academy of Higher Education
Indian Council of Medical Research.</t>
  </si>
  <si>
    <t>1.student
2.Associate Professor
3.Associate Professor</t>
  </si>
  <si>
    <t>vishnu.nair@manipal.edu</t>
  </si>
  <si>
    <t>Madhav Nagar, Manipal, 576104, Karnataka, India
V. Ramalingaswami Bhawan, P.O. Box No. 4911 Ansari Nagar, New Delhi - 110029, India.</t>
  </si>
  <si>
    <t>Manipal Academy of
Higher Education</t>
  </si>
  <si>
    <t xml:space="preserve">1.Manipal Centre for Biotherapeutics Research,
Manipal Academy of Higher Education,
Manipal,576104, Karnataka, India
2.Manipal Centre for Biotherapeutics Research,
Manipal Academy of Higher Education,
Manipal,576104, Karnataka, India
3.Manipal Centre for Biotherapeutics Research,
Manipal Academy of Higher Education,
Manipal,576104, Karnataka, India
4.Manipal Centre for Biotherapeutics Research,
Manipal Academy of Higher Education,
Manipal,576104, Karnataka, India
5.Manipal Institute of Technology, Manipal Academy
of Higher Education, Manipal,576104, Karnataka,
India
6.Manipal Centre for Biotherapeutics Research,
Manipal Academy of Higher Education,
Manipal,576104, Karnataka, India
</t>
  </si>
  <si>
    <t xml:space="preserve">1. MCBR
2. MCBR
3. MCBR
4. MIT
5. MCBR 
6. MCBR </t>
  </si>
  <si>
    <t>YES</t>
  </si>
  <si>
    <t xml:space="preserve">
1.researcher and PhD scholar
2.prominent PhD Scholar and Researcher
3.Professor
4.Associate Professor in Civil Engineering and Deputy Director of the Intellectual Property Rights 
5.Associate Professor
6.Research Fellow and PhD Scholar</t>
  </si>
  <si>
    <t>kirthanashri.sv@manipal.edu</t>
  </si>
  <si>
    <t>NOT RECEIVED</t>
  </si>
  <si>
    <t>Fiona</t>
  </si>
  <si>
    <t>Anusha</t>
  </si>
  <si>
    <t>AR06</t>
  </si>
  <si>
    <t>AN INTEGRATED CHASSIS-ERGONOMIC JIG MOCKUP DESIGN</t>
  </si>
  <si>
    <t>Department of Mechanical and Industrial 
Engineering, Manipal Institute of Technology, 
Manipal Academy of Higher Education, Manipal - 
576104, Karnataka, India,
Department of Aeronautical and Automobile 
Engineering, Manipal Institute of Technology, 
Manipal Academy of Higher Education, Manipal - 
576104, Karnataka, India</t>
  </si>
  <si>
    <t>1. MIT
2. MIT</t>
  </si>
  <si>
    <t xml:space="preserve">1. Assistant professor 
2. Student </t>
  </si>
  <si>
    <t>arjun.santhosh@learner.manipal.edu</t>
  </si>
  <si>
    <t>MANIPAL ACADEMY OF HIGHER EDUCATION</t>
  </si>
  <si>
    <t>AR10</t>
  </si>
  <si>
    <t>A SYSTEM AND METHOD FOR ENABLING DEEP LEARNING-BASED GEMSTONE CATEGORIZATION USING TRANSFER LEARNING</t>
  </si>
  <si>
    <t>Department of Information and 
Communication Technology, 
Manipal Institute of 
Technology, Manipal Academy 
of Higher Education, Manipal
576104, Karnataka, India 
Department of Information and 
Communication Technology, 
Manipal Institute of 
Technology, Manipal Academy 
of Higher Education, Manipal
576104, Karnataka, India 
Department of Information and 
Communication Technology, 
Manipal Institute of 
Technology, Manipal Academy 
of Higher Education, Manipal
576104, Karnataka, India</t>
  </si>
  <si>
    <t>1. Department of Information and 
Communication Technology
2. Department of Information and 
Communication Technology
3. Department of Information and 
Communication Technology</t>
  </si>
  <si>
    <t xml:space="preserve">1. Associste professor 
2. Student 
3. Student </t>
  </si>
  <si>
    <t>divya.r@manipal.edu</t>
  </si>
  <si>
    <t>AR09</t>
  </si>
  <si>
    <t>A COMPOSITION AND METHOD OF CLANER COMPOSITE BLOCKS USING RUBBER</t>
  </si>
  <si>
    <t>D.No. 1-105-3, Shri Nivasa near Vishnumurthy 
temple, Thekkibettu, Vamanjoor, Mangalore 
575028
202 B, Palace Orchid, Raman Mala, Opp. Polo 
Ground, Kolhapur, Maharashtra-416003</t>
  </si>
  <si>
    <t>swathibhat1295@gmail.com</t>
  </si>
  <si>
    <t>pranav bhat</t>
  </si>
  <si>
    <t>Pratham</t>
  </si>
  <si>
    <t>AR11</t>
  </si>
  <si>
    <t xml:space="preserve">	SYSTEM AND METHOD FOR EVALUATING EV LOAD SOURCES AND RELATED UNCERTAINTIES ON CHARGING STATION OPERATION</t>
  </si>
  <si>
    <t>AR13</t>
  </si>
  <si>
    <t>1. Department of Electrical and Electronics Engineering,
Manipal Institute of Technology, Manipal Academy of
Higher Education Manipal, India-576104
2. Department of Electrical and Electronics Engineering,
Manipal Institute of Technology, Manipal Academy of
Higher Education Manipal, India-576104
3. Department of Electrical and Electronics Engineering,
Manipal Institute of Technology, Manipal Academy of
Higher Education Manipal, India-576104
4. Department of Electrical and Electronics Engineering,
Manipal Institute of Technology, Manipal Academy of
Higher Education Manipal, India-576104</t>
  </si>
  <si>
    <t>AN APPARATUS FOR OPTIMIZING SPATIAL EFFICIENCY FOR FUNCTIONAL LIVING</t>
  </si>
  <si>
    <t>1. MIT
2. MIT
3. MIT
4. MIT</t>
  </si>
  <si>
    <t>1. Research Scholar
2.Professor
3.Associate Professor
4.Associate Professor</t>
  </si>
  <si>
    <t>nandini.kk@learner.manipal.edu</t>
  </si>
  <si>
    <t>1.Assistant Professor - Senior 
Scale,  
Department of Design,  
Manipal School of Architecture &amp; 
Planning, MAHE, Manipal, 
Karnataka, India. 
2.Interior &amp; Furniture Designer,  
Bhoomi Objects, 
Trivandrum,  
Kerala, India.</t>
  </si>
  <si>
    <t>1. MSAP
2. Bhoomi Object (Small business and independent brand)</t>
  </si>
  <si>
    <t>1.Assistant Professor
2.Interior &amp; Furniture Designer</t>
  </si>
  <si>
    <t>akshaya.nair@manipal.edu</t>
  </si>
  <si>
    <t>AR12</t>
  </si>
  <si>
    <t>SYSTEM AND METHOD FOR EVALUATING VIRTUAL POWER PLANTS USING MULTIPLE METAHEURISTIC TECHNIQUES</t>
  </si>
  <si>
    <t>1. Department of Electrical and Electronics
Engineering, Manipal Institute of Technology,
Manipal Academy of Higher Education, Manipal,
Karnataka - 576104 India
2. Department of Electrical and Electronics
Engineering, Manipal Institute of Technology,
Manipal Academy of Higher Education, Manipal,
Karnataka - 576104 India
3. Department of Electrical and Electronics
Engineering, Manipal Institute of Technology,
Manipal Academy of Higher Education, Manipal,
Karnataka - 576104 India</t>
  </si>
  <si>
    <t>1. MIT
2. MIT
3. MIT</t>
  </si>
  <si>
    <t>1.Senior Research Fellow (PhD Scholar)
2.Associate Professor
3. Professor</t>
  </si>
  <si>
    <t>anubhav.pandey@learner.manipal.edu</t>
  </si>
  <si>
    <t>AR14</t>
  </si>
  <si>
    <t>SYSTEM AND METHOD FOR LOWER LIMB REHABILITATION</t>
  </si>
  <si>
    <t>Manipal Academy of Higher Education</t>
  </si>
  <si>
    <t xml:space="preserve">1.Final Year B.Tech Student, 
Department of Aeronautical 
and Automobile Engineering, 
Manipal Institute of 
Technology, Manipal Academy 
of Higher Education, Manipal, 
576104, Karnataka, India. 
2.Second Year PhD research scholar  
Department of Obstetrics 
and Gynaecology  
Melaka Manipal Medical 
College ( MMMC-Manipal 
Campus), 
Manipal Academy of 
Higher Education, 
Manipal-576104, 
Karnataka, India 
3.Second Year M.Pharm. 
Pharmaceutics Student, 
Department Of Pharmaceutics, 
Manipal College Of 
Pharmaceutical Sciences, 
Manipal Academy of Higher 
Education, Manipal-576104, 
Karnataka, India 
4.1st Year MSc (by Research) in Biotherapeutics Student. 
Manipal Centre for 
Biotherapeutics Research.  
Manipal Academy of Higher 
Education, Manipal,576104, 
Karnataka, India 
5.Final year B.Tech student, 
Department of Biomedical 
Engineering, Manipal 
Academy of Higher 
Education, Manipal, 
576104, Karnataka, India 
</t>
  </si>
  <si>
    <t>1. MIT
2. MMMC
3. MCPS
4. MCBR
5. MIT</t>
  </si>
  <si>
    <t>1.Final Year B.Tech Student
2.Second Year PhD research scholar 
3.Second Year M.Pharm. 
Pharmaceutics Student
4.st Year MSc (by Research) in Biotherapeutics Student
5.Final year B.Tech student</t>
  </si>
  <si>
    <t>AR15</t>
  </si>
  <si>
    <t>A SYSTEM AND METHOD FOR QR-BASED BIOMETRIC-AUTHENTICATED AUTOMATED RATION DISPENSING</t>
  </si>
  <si>
    <t>Dept of E&amp;E, MIT Manipal,
MAHE 576104
Dept of E&amp;E, MIT Manipal,
MAHE 576104
Dept of E&amp;E, MIT Manipal,
MAHE 576104
Dept of E&amp;E, MIT Manipal,
MAHE 576104</t>
  </si>
  <si>
    <t>1. MIT Manipal
2. MIT Manipal
3. MIT Manipal
4. MIT Manipal</t>
  </si>
  <si>
    <t>1.Associate Professor
2.Additional Professor
3.Undergraduate Student (B.Tech)
4.Postgraduate Student (M.Tech)</t>
  </si>
  <si>
    <t>bharathi.rb@manipal.edu</t>
  </si>
  <si>
    <t>not assigned</t>
  </si>
  <si>
    <t>AR22</t>
  </si>
  <si>
    <t>A METHOD FOR QUANTIFICATION OF LENALIDOMIDE IN MESOPOROUS SILICA NANOPARTICLES USING CENTRAL COMPOSITE DESIGN</t>
  </si>
  <si>
    <t>1. Associate Professor,
Department of
Pharmaceutics, MCOPS,
Manipal Academy of Higher
Education, Manipal,
Karnataka-576104.
2.Research scholar,
Department of
Pharmaceutical Quality
Assurance, MCOPS,
Manipal Academy of Higher
Education, Manipal,
Karnataka-576104.
3. Research scholar,
Department of
Pharmaceutics, MCOPS,
Manipal Academy of Higher
Education, Manipal,
Karnataka-576104.
4.   Professor and Head,
Department of
Pharmaceutical Quality
Assurance, MCOPS,
Manipal Academy of Higher
Education, Manipal,
Karnataka-576104.</t>
  </si>
  <si>
    <t>1. Associate Professor
2. Research scholar
3. Research scholar
4. Professor and Head</t>
  </si>
  <si>
    <t>namdevdhas89@gmail.com</t>
  </si>
  <si>
    <t>AR16</t>
  </si>
  <si>
    <t>SYSTEM AND METHOD FOR ENABLING A DYNAMIC ARM BASED FLUID DISPENSER</t>
  </si>
  <si>
    <t xml:space="preserve">1. Department of Information and
Communication Technology,
Manipal Institute of Technology,
Manipal Academy of Higher
Education, Manipal - 576104. 
2. Department of Information and
Communication Technology,
Manipal Institute of Technology,
Manipal Academy of Higher
Education, Manipal - 576104. </t>
  </si>
  <si>
    <t>1. MIT Manipal
2. MIT Manipal</t>
  </si>
  <si>
    <t>1.Additional Professor
2.Student</t>
  </si>
  <si>
    <t>santhosha.rao@manipal.edu</t>
  </si>
  <si>
    <t>not filed</t>
  </si>
  <si>
    <t>AR03</t>
  </si>
  <si>
    <t>A DYNAMIC CHARGING SYSTEM</t>
  </si>
  <si>
    <t>1. Rangan Viveganandan
 2. sherin Cyrila Arulmaran</t>
  </si>
  <si>
    <t xml:space="preserve"> 1.101, Princess Kirthi, Dr VS Acharya Road,
Manipal, Karnataka, India - 576104,
 2. 701C, Nido- The Bridge, 50-54 Union Street,
Shieldfield, NewCastle Upon Tyne, United
Kingdom -NE2 1AH</t>
  </si>
  <si>
    <t>-</t>
  </si>
  <si>
    <t>AR23</t>
  </si>
  <si>
    <t>A METHOD FOR QUANTIFICATION OF ERASTIN-LOADED
MESOPOROUS SILICA NANOPARTICLES USING RP-HPLC
METHOD</t>
  </si>
  <si>
    <t>1. Department of
Pharmaceutics, Manipal College
of Pharmaceutical Sciences,
Manipal Academy of Higher
Education, Manipal 576104,
Karnataka, India.; 
2. Department of Pharmaceutical
Quality Assurance, Manipal
College of Pharmaceutical
Sciences, Manipal Academy of
Higher Education, Manipal
576104, Karnataka, India; 
3. Department of
Pharmaceutics, Manipal College
of Pharmaceutical Sciences,
Manipal Academy of Higher
Education, Manipal 576104,
Karnataka, India.;
 4. Department of Pharmaceutical
Quality Assurance, Manipal
College of Pharmaceutical
Sciences, Manipal Academy of
Higher Education, Manipal
576104, Karnataka, India</t>
  </si>
  <si>
    <t>1.Associate Professor
2.Ph.D. Research Scholar
3.Ph.D. Research Scholar
4.Professor &amp; Head</t>
  </si>
  <si>
    <t>AR17</t>
  </si>
  <si>
    <t>MULTIPLE TARGET FLUID DISPENSING SYSTEM AND A METHOD OF
ENABLING THEREOF</t>
  </si>
  <si>
    <t xml:space="preserve">1. Department of Information and
Communication Technology,
Manipal Institute of Technology,
Manipal Academy of Higher
Education, Manipal India ,
2. Department of Information and
Communication Technology,
Manipal Institute of Technology,
Manipal Academy of Higher
Education, Manipal India. </t>
  </si>
  <si>
    <t>spoorthi.shekar@manipal.edu</t>
  </si>
  <si>
    <t xml:space="preserve">
1.Additional Professor
2.Student
</t>
  </si>
  <si>
    <t>Not filed</t>
  </si>
  <si>
    <t>AR24</t>
  </si>
  <si>
    <t>A METHOD FOR QUANTIFICATION OF ERASTIN AND
LENALIDOMIDE LOADED NANOPARTICLES USING RP-HPLC
METHOD</t>
  </si>
  <si>
    <t>Madhav Nagar, Manipal,Karnataka - 576104</t>
  </si>
  <si>
    <t>1. Department of
Pharmaceutics, Manipal College
of Pharmaceutical Sciences,
Manipal Academy of Higher
Education, Manipal 576104,
Karnataka, India.;
2. Department of Pharmaceutical
Quality Assurance, Manipal
College of Pharmaceutical
Sciences, Manipal Academy of
Higher Education, Manipal
576104, Karnataka, India;
 3. Department of
Pharmaceutics, Manipal College
of Pharmaceutical Sciences,
Manipal Academy of Higher
Education, Manipal 576104,
Karnataka, India.;
 4. Department of Pharmaceutical
Quality Assurance, Manipal
College of Pharmaceutical
Sciences, Manipal Academy of
Higher Education, Manipal
576104, Karnataka, India</t>
  </si>
  <si>
    <t>1. Meghana Kasturi
 2. Vidhi Mathur
 3. Raviraja NS
 4. Varadharajan S
 5. S.V. Kirthanashri
 6. Mrunmayi Gadre</t>
  </si>
  <si>
    <t>AR18</t>
  </si>
  <si>
    <t xml:space="preserve">DEVICE FOR TIMED COMPRESSION OF ARTERIOVENOUS FISTULA NEEDLE SITES 
POST-DIALYSIS </t>
  </si>
  <si>
    <t xml:space="preserve">1. ASSISTANT PROFESSOR
SELECTION GRADE
DEPARTMENT OF RENAL
REPLACEMENT THERAPY &amp;
DIALYSIS TECHNOLOGY,
MANIPAL COLLEGE OF
HEALTH PROFESSIONS
,MANIPAL ACADEMY OF
HIGHER EDUCATION
(MAHE), MANIPAL,
KARNATAKA-576104 INDIA.
2. PROFESSOR
DEPARTMENT OF
NEPHROLOGY
KASTURBA MEDICAL
COLLEGE (KMC), MANIPAL
ACADEMY OF HIGHER
EDUCATION (MAHE),
MANIPAL, KARNATAKA-
576104 INDIA.
3. CHIEF OF CENTRE FOR
DIABETIC FOOT CARE &amp;
RESEARCH (CDFCR) &amp; DEAN
-MCHP
PROFESSOR
DEPARTMENT OF
PHYSIOTHERAPY
MANIPAL COLLEGE OF
HEALTH PROFESSIONS
(MCHP), MANIPAL MANIPAL
ACADEMY OF HIGHER
EDUCATION (MAHE),
MANIPAL, KARNATAKA-
576104 INDIA.
4. ASSOCIATE PROFESSOR
DEPARTMENT OF
NEPHROLOGY
KASTURBA MEDICAL
COLLEGE (KMC), MANIPAL
MANIPAL ACADEMY OF
HIGHER EDUCATION
(MAHE), MANIPAL,
KARNATAKA-576104 INDIA.
5. ASSISTANT PROFESSOR
MANIPAL SCHOOL OF
ARCHITECTURE AND
PLANNING, MANIPAL
ACADEMY OF HIGHER
EDUCATION (MAHE),
MANIPAL, KARNATAKA-
576104 INDIA.
6. KASTURBA MEDICAL
COLLEGE, MANIPAL,
KARNATAKA INDIA-576104
7. BHAGAVATHI CHALIL
HOUSE
VATTOLIBAZAR POST
BALUSSERY, KOZHIKODE
PIN - 673612
</t>
  </si>
  <si>
    <t>1. MCHP
2. KMC
3. MCHP
4. KMC
5. MSAP
6. KMC
7.  BHAGAVATHI CHALIL
HOUSE
VATTOLIBAZAR POST
BALUSSERY, KOZHIKODE
PIN - 673612</t>
  </si>
  <si>
    <t>1. ASSISTANT PROFESSOR
2. PROFESSOR
3. CHIEF OF CENTRE FOR
DIABETIC FOOT CARE &amp;
RESEARCH (CDFCR) &amp; DEAN
-MCHP
PROFESSOR
4. ASSOCIATE PROFESSOR
5. ASSOCIATE PROFESSOR</t>
  </si>
  <si>
    <t>shibu.c@manipal.edu</t>
  </si>
  <si>
    <t>AR25</t>
  </si>
  <si>
    <t>ANALYTICAL AND BIOANALYTICAL METHOD FOR QUANTIFYING 
CURCUMIN AND NARINGIN IN PHARMACEUTICAL FORMULATIONS 
AND PLASMA SAMPLES</t>
  </si>
  <si>
    <t>1. Research Scholar,
Department of Pharmaceutics,
Manipal College of
Pharmaceutical Sciences, Manipal
Academy of Higher Education,
Manipal- 576104, Karnataka,
India
2. Department of Pharmaceutical
Quality Assurance,
Manipal College of
Pharmaceutical Sciences,
Manipal Academy of Higher
Education, Manipal- 576104,
Karnataka, India
3.  Department of Pharmaceutics,
Manipal College of
Pharmaceutical Sciences,
Manipal Academy of Higher
Education, Manipal- 576104,
Karnataka, India</t>
  </si>
  <si>
    <t xml:space="preserve">1. Research Scholar( currently as Assistant professor)
2.Ph.D. Research Scholar( currently as Postdoctoral Fellow)
3.Professor &amp; Head
</t>
  </si>
  <si>
    <t>pooja.mallya@learner.manipal.edu</t>
  </si>
  <si>
    <t>1. DR. Ajeetkumar Patil
 2. Anusha Pillai
 3. DR. Saritha Kamath U</t>
  </si>
  <si>
    <t>AR21</t>
  </si>
  <si>
    <t>A MAGNETIC SWEEPER SYSTEM</t>
  </si>
  <si>
    <t>1. Department of Atomic and
Molecular Physics. AB 5, LG -1
MIT Engineering campus, Eshwar
Nagar, Manipal, Udupi,
Karnataka-576104, India.</t>
  </si>
  <si>
    <t>1. Research Scholar( currently  as Pixel Characterization Engineer)</t>
  </si>
  <si>
    <t>nikhileshwar.dampmpl2023@learner.manipal.edu</t>
  </si>
  <si>
    <t>AR32</t>
  </si>
  <si>
    <t>A SYSTEM FOR ENABLING DRY RED CHILLIES SORTING AND A METHOD THEREOF</t>
  </si>
  <si>
    <t>1. MANIPAL ACADEMY OF HIGHER EDUCATION
2. GANGLIA TECHNOLOGIES PRIVATE LIMITED</t>
  </si>
  <si>
    <t>1. Madhav Nagar, Manipal, 576104,Karnataka, India
2. IS/CWI/800, MANIPAL GOK BIOINCUBATOR, 3RD FLOOR, ADVANCED RESEARCH CENTRE, MADHAVNAGAR, MANIPAL, KARNATAKA, INDIA - 576104</t>
  </si>
  <si>
    <t>1. Associate professor, Dept of data Science and computer applications, Manipal institute of Technology, MAHE, Manipal, Karnataka -576104,
2. Department of Computeer Science and Engineering, Manipal Institute of technology, MAHE, Manipal, Karnataka, India -576104
3. professor and Head, Department of Emergency Medicine, KMC, Manipal, Karnataka, India 
4. SCHOLAR, DEPARTMENT OF
AUTOMOBILE
ENGINEEIRNG, MANIPAL
INSTITUTE OF
TECHNOLOGY, MAHE,
MANIPAL - 576104,
KARNATAKA INDIA
5. DR. TMA PAI RESEARCH
SCHOLAR, DEPARTMENT OF
HUMANITIES AND
MANAGEMENT, MIT, MAHE
MANIPAL, KARNATAKA-576104</t>
  </si>
  <si>
    <t>1. Dept of data Science and computer applications, Manipal institute of Technology, MPL
2. Department of Computeer Science and Engineering, Manipal Institute of technology, MPL
3. Department of Emergency Medicine, KMC, MPL
4. DEPARTMENT OF
AUTOMOBILE
ENGINEEIRNG, MANIPAL
INSTITUTE OF
TECHNOLOGY, MPL
5. DEPARTMENT OF
HUMANITIES AND
MANAGEMENT, MIT, MPL</t>
  </si>
  <si>
    <t>1. Associate professor
2. Professor
3.Professor &amp; Head
4.Professor &amp; Head
5.Dr. TMA Pai Research Scholar</t>
  </si>
  <si>
    <t>raja.shetty@manipal.edu</t>
  </si>
  <si>
    <t>1. Arjun Santhosh
 2. Pranav Sudheer</t>
  </si>
  <si>
    <t>AR26</t>
  </si>
  <si>
    <t>A METHOD FOR ESTABLISHING
NEUROPROTECTIVE EFFECTS OF CB2 AGONISTS
IN LPS AND CUMS NEUROINFLAMMATION MODELS</t>
  </si>
  <si>
    <t>1. PhD Scholar,
Department of Pharmacology,
Manipal College of
Pharmaceutical Science,
Manipal Academy of Higher
Education, Karnataka, Manipal -
576104.
2. Associate professor,
Department of Pharmacology,
Manipal College of
Pharmaceutical Science,
Manipal Academy of Higher
Education, Karnataka, Manipal -
576104.
3. Associate professor,
Department of Pharmacology,
Manipal College of
Pharmaceutical Science,
Manipal Academy of Higher
Education, Karnataka, Manipal -
576104.
4.Head of Department and
Professor,
Department of Pharmaceutics,
Manipal College of
Pharmaceutical Science,
Manipal Academy of Higher
Education, Karnataka, Manipal -
576104.</t>
  </si>
  <si>
    <t xml:space="preserve">1. PhD Scholar
2. Associate professor
3. Associate professor
4. Head of Department and
Professor
</t>
  </si>
  <si>
    <t>pratyasha2405@gmail.com</t>
  </si>
  <si>
    <t>AR07</t>
  </si>
  <si>
    <t>A SYSTEM AND METHOD TO IMPROVE POWER QUALITY OF GRID-INTEGRATED MICROGRID ELECTRIC VEHICLE CHARGING STATION</t>
  </si>
  <si>
    <t>swathiborra21@gmail.com</t>
  </si>
  <si>
    <t>1. Nandini K. K
 2. Dr. Jayalakshmi N. S
 3. Dr. Vinay Kumar Jadoun
 4. Dr. Dattatraya N. Gaonkar</t>
  </si>
  <si>
    <t xml:space="preserve"> Department of Electrical and Electronics Engineering,
Manipal Institute of Technology, Manipal Academy of
Higher Education Manipal, India-576104
 Department of Electrical and Electronics Engineering,
Manipal Institute of Technology, Manipal Academy of
Higher Education Manipal, India-576104
 Department of Electrical and Electronics Engineering,
Manipal Institute of Technology, Manipal Academy of
Higher Education Manipal, India-576104
Department of Electrical and Electronics Engineering,
National Institute of Technology, Karnataka, India-575025 </t>
  </si>
  <si>
    <t>1. MIT
2. MIT
3. MIT
4.NATIONAL INSTITUTE OF TECHNOLOGY</t>
  </si>
  <si>
    <t>1. Research Scholar (PhD Student)
2. Professor 
3. Associate Professor
4. Associate Professor</t>
  </si>
  <si>
    <t>AR39</t>
  </si>
  <si>
    <t>A METHOD FOR DETECTING MAPLE SYRUP URINE DISEASE USING
LIQUID CHROMATOGRAPHY-MASS SPECTROMETRY</t>
  </si>
  <si>
    <t>1. Professor and Head, Department
of Pharmaceutical Quality
Assurance, MCOPS, Manipal,
KA, IN-576104; 
2. Research scholar, Department of
Pharmaceutical Quality
Assurance, MCOPS, Manipal,
KA, IN-576104;
3. Research scholar, Department of
Pharmaceutical Quality
Assurance, MCOPS, Manipal,
KA, IN-576104; 
4. Department of Pediatrics,
Kasturba Medical College,
Manipal, KA, IN-576104; 
5. Department of Biochemistry,
Kasturba Medical College,
Manipal, KA, IN-576104</t>
  </si>
  <si>
    <t>1. Department
of Pharmaceutical Quality
Assurance, MCOPS, MPL
2. Department
of Pharmaceutical Quality
Assurance, MCOPS, MPL
3. Department
of Pharmaceutical Quality
Assurance, MCOPS, MPL
4. Department of Pediatrics,
Kasturba Medical College, MPL
5. Department of Biochemistry,
Kasturba Medical College, MPL</t>
  </si>
  <si>
    <t>1. Professor and Head
2. Research scholar
3. Research scholar
4.Professor
5.Professor</t>
  </si>
  <si>
    <t>ashutosh.gupta@learner.manipal.edu</t>
  </si>
  <si>
    <t>AR28</t>
  </si>
  <si>
    <t>A SYSTEM AND METHOD FOR AUTOMATED PREDICTION OF PEDICLE SCREW SIZE AND DIRECTION</t>
  </si>
  <si>
    <t xml:space="preserve">1. Research Associate,  
Division of Anatomy, Department 
of Basic Medical Sciences, 
MAHE, Manipal-576104, 
Karnataka, India, 
2. Professor and Unit Head, 
Department of Orthopaedics, 
Kasturba Medical College, 
Manipal, MAHE-576104, 
3. Department of Data Science and 
Computer Applications, MIT, 
MAHE, Manipal-576104, 
Karnataka, India,  
4. Department of Data Science and 
Computer Applications, MIT, 
MAHE, Manipal-576104, 
Karnataka, India . 
5. Department of Data Science and 
Computer Applications, MIT, 
MAHE, Manipal-576104, 
Karnataka, India </t>
  </si>
  <si>
    <t xml:space="preserve">1. Research Associate / Ph.D. Scholar ( currently as Assistant Professor / PhD Researcher)
2. Professor and Unit Head
3. Research Scholar
4.Research Scholar
5.Research Scholar
</t>
  </si>
  <si>
    <t>snigdha.mishra@manipal.edu</t>
  </si>
  <si>
    <t>AR08</t>
  </si>
  <si>
    <t>SYSTEM AND METHOD FOR ECONOMIC VIABILITY AND POTENTIAL ASSESSMENT OF MULTI-AREA VIRTUAL POWER PLANTS</t>
  </si>
  <si>
    <t>AR40</t>
  </si>
  <si>
    <t>A METHOD FOR DETECTION OF BIOTIN DEFICIENCY FROM DRIED BLOOD SPOT SAMPLES USING LCMS</t>
  </si>
  <si>
    <t>1. Anubhav Kumar Pandey
 2. Dr. Vinay Kumar Jadoun
 3. Dr. Jayalakshmi N. S</t>
  </si>
  <si>
    <t xml:space="preserve"> Department of Electrical and Electronics Engineering,
Manipal Institute of Technology, Manipal Academy of
Higher Education Manipal, India-576104 
 Department of Electrical and Electronics Engineering,
Manipal Institute of Technology, Manipal Academy of
Higher Education Manipal, India-576104 
 Department of Electrical and Electronics Engineering,
Manipal Institute of Technology, Manipal Academy of
Higher Education Manipal, India-576104 </t>
  </si>
  <si>
    <t>1. Assistant Professor 
2. Additional professor 
3. Senior professor</t>
  </si>
  <si>
    <t>1. Professor and Head, Department
of Pharmaceutical Quality
Assurance, MCOPS, Manipal,
Karnataka, India-576104,
2. Research scholar, Department of
Pharmaceutical Quality
Assurance, MCOPS, Manipal,
Karnataka, India-576104.
3.Research scholar, Department of
Pharmaceutical Quality
Assurance, MCOPS, Manipal,
Karnataka, India-576104
4.Department of Pediatrics,
Kasturba Medical College,
MAHE, Manipal, Karnataka,
India-576104
5. Department of Biochemistry,
Kasturba Medical College,
MAHE, Manipal, Karnataka,
India-576104</t>
  </si>
  <si>
    <t>na</t>
  </si>
  <si>
    <t>AR31</t>
  </si>
  <si>
    <t>A SYSTEM AND METHOD FOR BRUXISM TREATMENT USING VIBRATION STIMULATION</t>
  </si>
  <si>
    <t>AR41</t>
  </si>
  <si>
    <t>1. Dept. of Periodontology,
Manipal College of Dental
Sciences, Manipal, Karnataka576104, 
2. Manipal College of Dental
Sciences Manipal, Karnataka576104, 
3. Associate Professor, Dept. of
Prosthodontics, Manipal
College of Dental Sciences,
Manipal, Karnataka-576104, 
4. Manipal College of Dental
Sciences ,Manipal, Karnataka576104</t>
  </si>
  <si>
    <t>1. Dept. of Periodontology,
Manipal College of Dental
Sciences, MPL
2. Manipal College of Dental
Sciences, MPL
3. Dept. of
Prosthodontics, Manipal
College of Dental Sciences, MPL
4. Manipal College of Dental
Sciences , MPL</t>
  </si>
  <si>
    <t>1.Junior Resident / PG Scholar
2.Junior Resident / PG Scholar
3. Associate Professor
4. Junior Resident / PG Scholar</t>
  </si>
  <si>
    <t>A METHOD FOR DETECTING COFACTOR-DEPENDENT METABOLIC DISORDERS USING LIQUID CHROMATOGRAPHY-MASS SPECTROMETRY</t>
  </si>
  <si>
    <t>chaharkhushi2003@gmail.com</t>
  </si>
  <si>
    <t>1. Swathi Tejaswini Pralhad Bedekar</t>
  </si>
  <si>
    <t>1. Principal investigator, 
Professor and Head, Department 
of Pharmaceutical Quality 
Assurance, MCOPS, Manipal
576104, Udupi, KA, IN 
2. Research scholar,  
Department of Pharmaceutical 
Quality Assurance, MCOPS, 
Manipal-576104, Udupi, KA, IN 
3. Research scholar,  
Department of Pharmaceutical 
Quality Assurance, MCOPS, 
Manipal-576104, Udupi, KA, IN 
4. Co-investigator 
Department of Pediatrics, 
Kasturba Medical College, 
Manipal-576104, Udupi, KA, IN
5. Co-investigator 
Department of Biochemistry, 
Kasturba Medical College, 
Manipal-576104, Udupi, KA, IN</t>
  </si>
  <si>
    <t>1. Department 
of Pharmaceutical Quality 
Assurance, MCOPS, MPL
2. Department of Pharmaceutical 
Quality Assurance, MCOPS, MPL
3. Department of Pharmaceutical 
Quality Assurance, MCOPS, MPL
4. Department of Pediatrics, 
Kasturba Medical College, MPL
5. Department of Biochemistry, 
Kasturba Medical College, MPL</t>
  </si>
  <si>
    <t xml:space="preserve">1. Principal investigator
2. Research scholar
3. Research scholar
4. Co-investigator 
5. Co-investigator </t>
  </si>
  <si>
    <t>AR42</t>
  </si>
  <si>
    <t>A DUAL-BAND MIMO ARRAY ANTENNA
WITH SELF-ISOLATING STRUCTURE
FOR 5G APPLICATIONS</t>
  </si>
  <si>
    <t>1. Department of Electronics and
Communication Engineering,
Manipal Institute of
Technology, Manipal Academy
of Higher Education, Manipal
576104, India
2. Department of Electronics and
Communication Engineering,
Manipal Institute of
Technology, Manipal Academy
of Higher Education, Manipal
576104, India
3. Department of Electronics and
Communication Engineering,
Manipal Institute of
Technology, Manipal Academy
of Higher Education, Manipal
576104, India
4. Department of Information and
Communication Technology,
Manipal Institute of
Technology, Manipal Academy
of Higher Education, Manipal
576104, India</t>
  </si>
  <si>
    <t>1. Department of Electronics and
Communication Engineering,
Manipal Institute of
Technology, MPL
 2. Department of Electronics and
Communication Engineering,
Manipal Institute of
Technology, MPL
3. Department of Electronics and
Communication Engineering,
Manipal Institute of
Technology, MPL
4. Department of Information and
Communication Technology,
Manipal Institute of
Technology, MPL</t>
  </si>
  <si>
    <t>1.Research Scholar ( currently as Assistant Professor ) 
2.Assistant Professor (Senior Scale)	( currently as Additional Professor)
3.Professor
4.Assistant Professor (Senior Scale)</t>
  </si>
  <si>
    <t>parveez1shariff@gmail.com</t>
  </si>
  <si>
    <t>1. Divya Rao
 2. Kankshi Banker
 3. Jinay Patel Kulin</t>
  </si>
  <si>
    <t>AR33</t>
  </si>
  <si>
    <t>A METHOD AND COMPOSITION FOR DEVELOPMENT AND
EVALUATION OF A HYPOTHERMIC INTERMEDIATE-TERM CORNEAL
STORAGE MEDIA</t>
  </si>
  <si>
    <t xml:space="preserve">
Junior Resident, Dept of
Ophthalmology, KMC, Manipal,
MAHE, Manipal, KA, IN-576104 
Associate Professor, Dept of 
Ophthalmology, KMC, Manipal, 
MAHE, Manipal, KA, IN-576104 
Professor and Head of Unit-1, 
Dept of Ophthalmology, KMC, 
Manipal, MAHE, Manipal, KA, 
IN-576104 
Professor and Head of 
Department, Dean of Manipal 
College of Pharmaceutical 
Sciences, Department of 
Pharmaceutics, MCOPS, MAHE, 
Manipal, KA, IN-576104
Professor and Head of 
Department, 
Department of Pharmaceutical 
Biotechnology, MCOPS, MAHE, 
Manipal, KA, IN-576104
PhD student researcher, 
Department of Pharmaceutics, 
MCOPS, MAHE, Manipal KA, 
IN-576104 </t>
  </si>
  <si>
    <t>not filed (abandonded)</t>
  </si>
  <si>
    <t>AR43</t>
  </si>
  <si>
    <t>A MILLIMETER-WAVE MIMO ANTENNA WITH DUAL-BEAM SPATIAL AND PATTERN DIVERSITY STRUCTURES</t>
  </si>
  <si>
    <t>1. DEPARTMENT OF
ELECTRONICS AND
COMMUNICATION
ENGINEERING, MIT,
MANIPAL, KARNATAKA,
INDIA – 576104.
2. DEPARTMENT OF
ELECTRONICS AND
COMMUNICATION
ENGINEERING, MIT,
MANIPAL, KARNATAKA,
INDIA – 576104.
3. DEPARTMENT OF
ELECTRONICS AND
COMMUNICATION
ENGINEERING, MIT,
MANIPAL, KARNATAKA,
INDIA – 576104.
4. DEPARTMENT OF
INFORMATION AND
COMMUNICATION
TECHNOLOGY, MIT,
MANIPAL, KARNATAKA,
INDIA-576104
5.ASSISTANT PROFESSOR
(SENIOR SCALE), ACADEMIC
BLOCK 2, DEPARTMENT OF
CIVIL ENGINEERING,
MANIPAL INSTITUTE OF
TECHNOLOGY, MAHE,
MANIPAL, KARNATAKA,
INDIA-576104.</t>
  </si>
  <si>
    <t>1. DEPARTMENT OF
ELECTRONICS AND
COMMUNICATION
ENGINEERING, MIT, MPL
2. DEPARTMENT OF
ELECTRONICS AND
COMMUNICATION
ENGINEERING, MIT, MPL
3. DEPARTMENT OF
ELECTRONICS AND
COMMUNICATION
ENGINEERING, MIT, MPL
4. DEPARTMENT OF
INFORMATION AND
COMMUNICATION
TECHNOLOGY, MIT, MPL
5. DEPARTMENT OF
CIVIL ENGINEERING,
MANIPAL INSTITUTE OF
TECHNOLOGY,</t>
  </si>
  <si>
    <t>1.Research Scholar ( currently as Assistant Professor)        
2.Assistant Professor (Senior Scale)  ( currently As Additional Professor)
3.Professor
4.Assistant Professor (Senior Scale)
5.Assistant Professor (Senior Scale)  ( currently as Associate Professor)</t>
  </si>
  <si>
    <t>AR35</t>
  </si>
  <si>
    <t>A METHOD FOR CLASSIFYING ENCAPSULATION STABILITY OF 
PHYTOCONSTITUENT IN MILK EXTRACELLULAR VESICLES</t>
  </si>
  <si>
    <t>1. Manipal College of Pharmaceutical
Sciences, Madhav Nagar, Manipal,
Karnataka 576104; 
2. Manipal College of Pharmaceutical
Sciences, Madhav Nagar, Manipal,
Karnataka 576104; 
3. Centre for Molecular Neurosciences,
KMC, Manipal Karnataka 576104; 
4. Manipal College of Pharmaceutical
Sciences, Madhav Nagar, Manipal,
Karnataka 576104</t>
  </si>
  <si>
    <t xml:space="preserve">1. Manipal College of Pharmaceutical
Sciences, MPL
2. Manipal College of Pharmaceutical
Sciences, MPL
3. Centre for Molecular Neurosciences,
KMC, MPL
4. Manipal College of Pharmaceutical
Sciences, MPL
</t>
  </si>
  <si>
    <t>1.Research Scholar
2.Assistant Professor
3.Assistant Professor
4.Professor</t>
  </si>
  <si>
    <t>mahananda.mcopsmpl2023@learner.manipal.edu</t>
  </si>
  <si>
    <t>AR81</t>
  </si>
  <si>
    <t>A METHOD FOR OPTIMIZING GEOMETRY OF TORPEDO-SHAPED 
UNDERWATER GLIDERS</t>
  </si>
  <si>
    <t>MANIPAL
ACADEMY OF
HIGHER
EDUCATION</t>
  </si>
  <si>
    <t>1. Department of Aeronautical and
Automobile engineering,
Manipal Institute of technology,
Manipal, Karnataka, India-
576104;
2. Department of Aeronautical and
Automobile engineering,
Manipal Institute of technology,
Manipal, Karnataka, India-
576104</t>
  </si>
  <si>
    <t xml:space="preserve">1. Department of Aeronautical and
Automobile engineering,
Manipal Institute of technology
2. Department of Aeronautical and
Automobile engineering,
Manipal Institute of technology
</t>
  </si>
  <si>
    <t>1. Student
2. Associate Professor</t>
  </si>
  <si>
    <t>srinivas.g@manipal.edu</t>
  </si>
  <si>
    <t>1. Nandini K. K
 2. Jayalakshmi N. S
 3. Vinay Kumar Jadoun
 4. Dattatraya N. Gaonkar</t>
  </si>
  <si>
    <t>AR36</t>
  </si>
  <si>
    <t>A SYSTEM AND METHOD OF AN ABDOMINAL COMPRESSION DEVICE
FOR RADIOTHERAPY TREATMENT</t>
  </si>
  <si>
    <t>1.Associate Professor and Head,
Radiotherapy and Oncology,
KMC, MAHE, Manipal, 576104,
Karnataka, India;
2. Asst. Professor, Dept. of Media
Technology,
MIT, MAHE, Manipal, 576104,
Karnataka, India;
3. Professor, Dept. of Physics,
MIT, MAHE, Manipal, 576104,
Karnataka, India; 
4.Associate Professor, Department
of ECE, MIT, MAHE, Manipal,
576104,
Karnataka, India; 
5.Assistant Professor, Department
of DSCA, MIT, MAHE, Manipal,
576104,
Karnataka, India;
6. Asst. Professor, Senior Scale,
Dept. of Mechanical and
Industrial Engineering,
MIT, MAHE, Manipal, 576104,
Karnataka, India;
7. Radiation Therapy Technologist,
KMC, MAHE, Manipal, 576104,
Karnataka, India;
8. Research Scholar, Dept. of
Physics, MIT, MAHE, Manipal,
576104,
Karnataka, India; 
9.Research Scholar, Dept. of
Physics, MIT, MAHE, Manipal,
576104,
Karnataka, India</t>
  </si>
  <si>
    <t>1. Radiotherapy and Oncology,
KMC, MPL
2. Dept. of Media
Technology,
MIT, MPL
3. Dept. of Physics,
MIT, MPL
4. Department
of ECE, MIT, MPL
5. Department
of ECE, MIT, MPL
6. Dept. of Mechanical and
Industrial Engineering,
MIT, MPL
7. Department of Radiotherapy, KMC, MPL
8. Dept. of
Physics, MIT, MPL
9. Dept. of
Physics, MIT, MPL</t>
  </si>
  <si>
    <t>1.Associate Professor &amp; Head
2.Assistant Professor (Selection Grade)
3.Professor
4.Associate Professor
5.Associate Professor
6.Assistant Professor (Senior Scale)
7.Radiation Therapy Technologist
8.Research Scholar
9.Research Scholar</t>
  </si>
  <si>
    <t>nagaraj.kamath@manipal.edu</t>
  </si>
  <si>
    <t>1. Anubhav Kumar Pandey
 2. Vinay Kumar Jadoun
 3. Jayalakshmi N. S.</t>
  </si>
  <si>
    <t>1. Akshaya MR
 2. Antony Charles</t>
  </si>
  <si>
    <t>AR37</t>
  </si>
  <si>
    <t>A SYSTEM AND METHOD OF AN ABDOMINAL COMPRESSION DEVICE
FOR RADIOTHERAPY TREATMENT USING DOSIMETER</t>
  </si>
  <si>
    <t>1. Professor and Head,
Radiotherapy and Oncology,
Kasturba Medical College,
Manipal Academy of Higher
Education,Manipal, Karnataka,
India – 576104; 
2. Asstistant Professor ( Senior
Grade), Manipal Institute of
Technology,Manipal Academy of
Higher Education,Manipal,
Karnataka, India – 576104; 
3. Professor, Department of Physics,
Manipal Institute of
Technology,Manipal Academy of
Higher Education,Manipal,
Karnataka, India – 576104; 
4. Associate Professor, Department
of ECE, Manipal Institute of
Technology,Manipal Academy of
Higher Education,Manipal,
Karnataka, India – 576104;
 5. Assistant Professor, Department of
DSCA, Manipal Institute of
Technology,Manipal Academy of
Higher Education,Manipal,
Karnataka, India – 576104; 
6. Assistant Professor, Senior Scale,
Department of Mechanical and
Industrial Engineering, Manipal
Institute of Technology,Manipal
Academy of Higher
Education,Manipal, Karnataka,
India – 576104;
 7. Radiation Therapy Technologist,
Kasturba Medical College,
Manipal Academy of Higher
Education,Manipal, Karnataka,
India – 576104; 
8. Research Scholar, Department of
Physics, Manipal Institute of
Technology,Manipal Academy of
Higher Education,Manipal,
Karnataka, India – 576104;
 9. Research Scholar, Department of
Physics, Manipal Institute of
Technology,Manipal Academy of
Higher Education,Manipal,
Karnataka, India – 576104</t>
  </si>
  <si>
    <t>1. Radiotherapy and Oncology,
Kasturba Medical College, MPL
2. Manipal Institute of
Technology, MPL
3. Department of Physics,
Manipal Institute of
Technology, MPL
4. Department
of ECE, Manipal Institute of
Technology, MPL
5. Department of
DSCA, Manipal Institute of
Technology, MPL
6. Department of
DSCA, Manipal Institute of
Technology, MPL
7. Radiotherapy and Oncology,
Kasturba Medical College, MPL
8. Department of
Physics, Manipal Institute of
Technology, MPL
9. Department of
Physics, Manipal Institute of
Technology, MPL</t>
  </si>
  <si>
    <t>1. Kapileswar Rana
 2. Pavanya M
 3. Anish Ponnachan Cherian
 4. Prima Yangzi Mishra
 5. SK Rhaber Hussain</t>
  </si>
  <si>
    <t>25/09/2026</t>
  </si>
  <si>
    <t>AR38</t>
  </si>
  <si>
    <t>A COMPOSITE FLOUR TO PREPARE NUTRITIONAL COOKIES OR BISCUITS AND A 
METHOD THEREOF</t>
  </si>
  <si>
    <t xml:space="preserve">1. Welcomgroup Graduate School of Hotel Administration, MAHE, Manipal, 576104, Karnataka, India, 
2.Prasanna School of Public Health, 
MAHE, Manipal, 576104, 
Karnataka, India </t>
  </si>
  <si>
    <t>1. Welcomgroup Graduate School of Hotel Administration, MAHE, MPL
2. Prasanna School of Public Health, 
MAHE, MPL</t>
  </si>
  <si>
    <t>1.Associate Professor &amp; Coordinator
2.Associate Director (PSPH) &amp; Professor &amp; Head (Data Science)</t>
  </si>
  <si>
    <t>kshama.v@manipal.edu</t>
  </si>
  <si>
    <t>1. BHARATHI R.B 
 2. VIJAYALAXMI
 3. AARON DONALD PINTO
 4. B.SANKEERTHAN RAO</t>
  </si>
  <si>
    <t>AR44</t>
  </si>
  <si>
    <t>A SYSTEM AND METHOD FOR COMPREHENSIVE MENTAL HEALTH
SUPPORT, AWARENESS, AND RECOVERY TRACKING</t>
  </si>
  <si>
    <t xml:space="preserve">1. Professor, Department of Forensic Medicine &amp; Toxicology, Kasturba Medical College, Manipal Academy of Higher Education, Manipal, KA, IN-576104
2. PhD Scholar, Department of Forensic Medicine &amp; Toxicology, Kasturba Medical College, Manipal Academy of Higher Education, Manipal KA, IN-576104
</t>
  </si>
  <si>
    <t>1. Department of Forensic Medicine &amp; Toxicology, Kasturba Medical College, MPL
2. Department of Forensic Medicine &amp; Toxicology, Kasturba Medical College, MPL</t>
  </si>
  <si>
    <t>1. Professor
2. PhD Scholar</t>
  </si>
  <si>
    <t>Jahid.kmcmpl2023@learner.manipal.edu</t>
  </si>
  <si>
    <t>1. Santhosha Rao
 2. Maskibail Prerana Rao</t>
  </si>
  <si>
    <t>AR45</t>
  </si>
  <si>
    <t xml:space="preserve">A METHOD AND COMPOSITION FOR FORMULATION OF FRAGRANT COMPOUNDS USING  NATURAL AND SYNTHETIC BLENDS </t>
  </si>
  <si>
    <t xml:space="preserve">1. Department of 
Sciences, Manipal 
Institute of 
Technology, Manipal 
Academy of Higher 
Education, Manipal 
576104, Karnataka, 
India </t>
  </si>
  <si>
    <t>1. Department of 
Sciences, Manipal 
Institute of 
Technology, MPL</t>
  </si>
  <si>
    <t>1.Research Scholar</t>
  </si>
  <si>
    <t>aditipratapswain2002@gmail.com</t>
  </si>
  <si>
    <t>1. Santhosha Rao
 2. M Prerana Rao</t>
  </si>
  <si>
    <t>1. VEENA NK 
 2. RAVINDRA PRABHU A
 3. G ARUN MAIYA
  4. INDU RAMACHANDRA RAO
 5. ANUPAMA PAVITHRAN
 6. SHIBU CHAMEETTACHAL
 7. NAJATHULLA BHAGAVATHI CHALIL</t>
  </si>
  <si>
    <t>AR46</t>
  </si>
  <si>
    <t>A DUAL-TARGETING INHIBITOR OF IDH1 AND IDH2 FOR TREATMENT OF GLIOBLASTOMA</t>
  </si>
  <si>
    <t>1.PhD Research Scholar,
Department of Pharmacology,
Manipal College of
Pharmaceutical Sciences, Manipal
Academy of Higher Education,
Manipal 576104, Karnataka,
India.;
2. Professor, Department of
Pharmacology, Manipal College
of Pharmaceutical Sciences,
Manipal Academy of Higher
Education, Manipal 576104,
Karnataka, India</t>
  </si>
  <si>
    <t>1. Department of Pharmacology,
Manipal College of
Pharmaceutical Sciences, MPL
2. Department of
Pharmacology, Manipal College
of Pharmaceutical Sciences, MPL</t>
  </si>
  <si>
    <t xml:space="preserve">1.PhD Research Scholar
2. Professor
</t>
  </si>
  <si>
    <t>vignesh.e1@learner.manipal.edu</t>
  </si>
  <si>
    <t>AR19</t>
  </si>
  <si>
    <t>AR47</t>
  </si>
  <si>
    <t>A DEVICE FOR CUSTOMIZED SCAR REDUCTION AND HEALING IN 
FACIAL BURN AND TRAUMA PATIENTS</t>
  </si>
  <si>
    <t xml:space="preserve">1. Intern,  
Manipal College of Dental 
Sciences, Manipal Academy of 
Higher Education, Manipal, 
576104, Karnataka, India
2. Assistant Professor,  
Department of Plastic Surgery, 
Kasturba Medical College, 
Manipal Academy of Higher 
Education, Manipal, 576104, 
Karnataka, India
 3. Head of Department, 
 Plastic Surgery, Kasturba Medical 
College, Manipal Academy of 
Higher Education, Manipal, 
576104, Karnataka, India
4. Professor and Head, Department 
of Prosthodontics, Manipal 
College of Dental Sciences, 
Manipal Academy of Higher 
Education, Manipal, 576104, 
Karnataka, India </t>
  </si>
  <si>
    <t>1. Manipal College of Dental 
Sciences, MPL
2. Department of Plastic Surgery, 
Kasturba Medical College, MPL
3. Plastic Surgery, Kasturba Medical 
College, MPL
4. Department 
of Prosthodontics, Manipal 
College of Dental Sciences, MPL</t>
  </si>
  <si>
    <t>1. Intern
2.  Assistant Professor
3.  Head of Department
4.  Professor and Head</t>
  </si>
  <si>
    <t>raiarchi2610@gmail.com</t>
  </si>
  <si>
    <t>AR20</t>
  </si>
  <si>
    <t>AR48</t>
  </si>
  <si>
    <t>A SYSTEM AND METHOD FOR PRODUCTION OF GREEN HYDROGEN
AND PURE OXYGEN FROM RAINWATER</t>
  </si>
  <si>
    <t>1. Research Scholar office,
Academic Block 2, Department
of Civil Engineering, Manipal
Institute of Technology, MAHE,
Manipal, Karnataka, India –
576104.; 
2. Assistant Professor (Senior
Scale), Academic Block 2,
Department of Civil
Engineering, Manipal Institute
of Technology, MAHE,
Manipal, Karnataka, India –
576104.;
 3. Professor &amp; Head, Academic
Block 2, Department of Civil
Engineering, Manipal Institute
of Technology, MAHE,
Manipal, Karnataka, India –
576104</t>
  </si>
  <si>
    <t>1. Department
of Civil Engineering, Manipal
Institute of Technology, MPL
2. Department of Civil
Engineering, Manipal Institute
of Technology, MPL
3. Department of Civil
Engineering, Manipal Institute
of Technology,</t>
  </si>
  <si>
    <t>1. Research Scholar office
2. Assistant Professor (Senior
Scale)
3. Professor &amp; Head</t>
  </si>
  <si>
    <t>hariperumal.mitmpl2023@learner.manipal.edu</t>
  </si>
  <si>
    <t>1. Nikhileshwar V</t>
  </si>
  <si>
    <t>MIT</t>
  </si>
  <si>
    <t>AR49</t>
  </si>
  <si>
    <t>A SYSTEM AND METHOD FOR MULTIMODAL ON-DEVICE EMERGENCY DETECTION WITH INDOOR LOCALIZATION AND ALERTS</t>
  </si>
  <si>
    <t>1.Associate Professor,
Department of Computer Science
and Engineering, Manipal
Institute of Technology
Bengaluru, Manipal Academy of
Higher Education, Manipal, India-
560063
2. Assistant Professor (Senior
Scale),
Department of Information
Technology, Manipal Institute of
Technology Bengaluru, Manipal
Academy of Higher Education,
Manipal, India-560063
3. Department of Computer Science
and Engineering, Manipal
Institute of Technology
Bengaluru, Manipal Academy of
Higher Education, Manipal, India-
560063
4. Department of Computer Science
and Engineering, Manipal
Institute of Technology
Bengaluru, Manipal Academy of
Higher Education, Manipal, India-
560063
5. Bristlecone, 3rd Floor, Crescent 4,
Prestige Shantiniketan, Gate : 2,
Whitefield Road, Thigalarapalya,
Hoodi, Bengaluru, Karnataka
560048
6. Product Engineer,
Edgeverve -Infosys
Survey No. 210 ISB Road,
Lingampally Road, Manikonda,
Hyderabad, Telangana 500032
7.  IFIM Business School
Academy Block, IFIM Business
School, Electronics City Phase 1,
Electronic City, Bengaluru,
Karnataka 560100</t>
  </si>
  <si>
    <t>1. Department of Computer Science
and Engineering, Manipal
Institute of Technology, BLR
2. Department of Information
Technology, Manipal Institute of
Technology, BLR
3. Department of Computer Science
and Engineering, Manipal
Institute of Technology, BLR
4. Department of Computer Science
and Engineering, Manipal
Institute of Technology, BLR
5. 
6.</t>
  </si>
  <si>
    <t>1.Associate Professor
2. Assistant Professor (Senior
Scale)</t>
  </si>
  <si>
    <t>jayita.saha@manipal.edu</t>
  </si>
  <si>
    <t>1. Namdev Dhas
 2. Ashutosh Gupta
 3. Rachana S P
 4. Sudheer Moorkoth</t>
  </si>
  <si>
    <t>1. MCOPS
2. MCOPS
3. MCOPS
4. MCOPS</t>
  </si>
  <si>
    <t>17/10/2024/
10/08/2026</t>
  </si>
  <si>
    <t>1. Namdev Dhas
 2. Ashutosh Gupta
  3. Rachana S P
 4. Sudheer Moorkoth</t>
  </si>
  <si>
    <t>AR50</t>
  </si>
  <si>
    <t>A METHOD FOR PRODUCING SUSTAINABLE CONCRETE USING RICE HUSK ASH AND ZINC DUST POWDER</t>
  </si>
  <si>
    <t xml:space="preserve">1. Research Scholar office,
Academic Block 2, Department of
Civil Engineering, Manipal
Institute of Technology, MAHE,
Manipal, KA, IN – 576104.
2. Assistant Professor (Senior
Scale), Academic Block 2,
Department of Civil Engineering,
Manipal Institute of Technology,
MAHE, Manipal, KA, IN –
576104.
3. Professor &amp; Head, Academic
Block 2, Department of Civil
Engineering, Manipal Institute of
Technology, MAHE, Manipal,
KA, IN – 576104.
</t>
  </si>
  <si>
    <t>21/12/2024/
10/08/2026</t>
  </si>
  <si>
    <t>1. Department of
Civil Engineering, Manipal
Institute of Technology, MPL
2. Department of
Civil Engineering, Manipal
Institute of Technology, MPL
3. Department of
Civil Engineering, Manipal
Institute of Technology, MPL</t>
  </si>
  <si>
    <t>varadharajan.s@manipal.edu
hariperumal.mitmpl2023@learner.manipal.edu</t>
  </si>
  <si>
    <t>18/12/2024/
09/08/2026</t>
  </si>
  <si>
    <t>AR51</t>
  </si>
  <si>
    <t>A METHOD FOR PRODUCING SUSTAINABLE CONCRETE USING RICE HUSK ASH AND LEAD POWDER</t>
  </si>
  <si>
    <t>1. Research Scholar office,
Academic Block 2, Department of
Civil Engineering, Manipal
Institute of Technology, MAHE,
Manipal, KA, IN – 576104.
2. Assistant Professor (Senior
Scale), Academic Block 2,
Department of Civil Engineering,
Manipal Institute of Technology,
MAHE, Manipal, KA, IN –
576104
3. Professor &amp; Head, Academic
Block 2, Department of Civil
Engineering, Manipal Institute of
Technology, MAHE, Manipal,
KA, IN – 576104.</t>
  </si>
  <si>
    <t>1. Department of
Civil Engineering, Manipal
Institute of Technology
2. Department of
Civil Engineering, Manipal
Institute of Technology
3. Department of
Civil Engineering, Manipal
Institute of Technology</t>
  </si>
  <si>
    <t>1. Student
2. Assistant Professor
3. Professor &amp; Head</t>
  </si>
  <si>
    <t>1. Pooja Mallya
 2. Dani Laxman Yarlagadda
 3. Shaila Angela Lewis</t>
  </si>
  <si>
    <t>1. MCOPS
2. MCOPS
3. MCOPS</t>
  </si>
  <si>
    <t>AR52</t>
  </si>
  <si>
    <t>A METHOD FOR PRODUCING SUSTAINABLE CONCRETE USING RICE HUSK ASH, LEAD POWDER, AND ZINC POWDER</t>
  </si>
  <si>
    <t xml:space="preserve">Research Scholar office,
Academic Block 2, Department of
Civil Engineering, Manipal
Institute of Technology, MAHE,
Manipal, KA, IN – 576104.
Assistant Professor (Senior
Scale), Academic Block 2,
Department of Civil Engineering,
Manipal Institute of Technology,
MAHE, Manipal, KA, IN –
576104.
Professor &amp; Head, Academic
Block 2, Department of Civil
Engineering, Manipal Institute of
Technology, MAHE, Manipal,
KA, IN – 576104.
</t>
  </si>
  <si>
    <t>1. Pratyasha Sharma
 2. Madhavan Nampoothiri G
 3. Jayesh Mudgal
 4. Shaila Angela Lewis</t>
  </si>
  <si>
    <t>AR54</t>
  </si>
  <si>
    <t>A METHOD AND COMPOSITION FOR CONCRETE USING LEAD POWDER AS PARTIAL REPLACEMENT FOR FINE AGGREGATE</t>
  </si>
  <si>
    <t>Research Scholar office, Academic Block 2, Department of Civil Engineering, Manipal Institute of Technology, MAHE,Manipal, KA, IN–576104.
Assistant Professor (SeniorScale), Academic Block 2,Department of Civil Engineering,Manipal Institute of Technology, MAHE, Manipal, KA, IN–576104
Professor &amp; Head, Academic Block 2, Department of Civil Engineering, Manipal Institute of Technology, MAHE, Manipal,KA, IN– 576104.</t>
  </si>
  <si>
    <t>AR27</t>
  </si>
  <si>
    <t>A METHOD AND COMPOSITION FOR ENHANCING CEMENT WITH RICE HUSK ASH</t>
  </si>
  <si>
    <t>1. HARIPERUMAL N
 2. S. VARADHARAJAN 
 3. PURUSHOTHAM G. SARVADE</t>
  </si>
  <si>
    <t>1. Research Scholar office,
Academic Block 2, Department of
Civil Engineering, Manipal
Institute of Technology Manipal
Academy of Higher Education,
Manipal, 576104, Karnataka,
India
2. Assistant Professor (Senior Scale),
Academic Block 2, Department of
Civil Engineering, Manipal
Institute of Technology, MAHE,
Manipal, KA, IN – 576104.
3. Professor &amp;;HOD, Academic Block
2, Department of Civil
Engineering, Manipal Institute of
Technology, MAHE, Manipal, KA,
IN – 576104.</t>
  </si>
  <si>
    <t xml:space="preserve">1. Research Scholar
2. Assistant Professor (Senior Scale)
3. Professor &amp; HOD 
</t>
  </si>
  <si>
    <t>AR55</t>
  </si>
  <si>
    <t>SYSTEM AND METHOD FOR CONCRETE COMPOSITION INCORPORATING ZINC POWDER AS PARTIAL REPLACEMENT FOR FINE AGGREGATE</t>
  </si>
  <si>
    <t>Research Scholar office, Academic Block 2, Department of Civil Engineering, Manipal Institute of Technology, MAHE,Manipal, KA, IN–576104.
Assistant Professor (SeniorScale), Academic Block 2,Department of Civil Engineering,Manipal Institute of Technology, MAHE, Manipal, KA, IN–576104
Professor &amp; Head, Academic
Block 2, Department of Civil
Engineering, Manipal Institute
of Technology, MAHE,
Manipal, Karnataka, India –
576104</t>
  </si>
  <si>
    <t>AR56</t>
  </si>
  <si>
    <t>SYSTEM AND METHOD FOR CONCRETE MIX USING ZINC POWDER, LEAD REPLACEMENTS, AND OPTIMIZED WATER-CEMENT RATIO</t>
  </si>
  <si>
    <t>Research Scholar office,
Academic Block 2, Department
of Civil Engineering, Manipal
Institute of Technology, MAHE,
Manipal, Karnataka, India –
576104.; 
Assistant Professor (Senior
Scale), Academic Block 2,
Department of Civil
Engineering, Manipal Institute
of Technology, MAHE,
Manipal, Karnataka, India –
576104.; 
Professor &amp; Head, Academic
Block 2, Department of Civil
Engineering, Manipal Institute
of Technology, MAHE,
Manipal, Karnataka, India –
576104</t>
  </si>
  <si>
    <t>1. SNIGDHA MISHRA
 2. SHYAMASUNDER BHAT N
 3. NOEL VEIGAS
 4. RITESH V KAMATH
 5. ANISH KRISHNA SHERIGAR</t>
  </si>
  <si>
    <t>1. DBMS
2. KMC
3. MIT
4. MIT
5. MIT</t>
  </si>
  <si>
    <t>AR57</t>
  </si>
  <si>
    <t>A METHOD FOR DECELLULARIZATION OF TILAPIA FISH SKIN FOR BURN 
WOUND HEALING</t>
  </si>
  <si>
    <t>AR29</t>
  </si>
  <si>
    <t>A METHOD AND COMPOSITION FOR DESIGNING AN EFFECTIVE MIX
FOR M40 GRADE CONCRETE</t>
  </si>
  <si>
    <t>1. HARIPERUMAL N 
 2. S. VARADHARAJAN 
 3. PURUSHOTHAM G. SARVADE</t>
  </si>
  <si>
    <t xml:space="preserve">1. Manipal Academy of Higher 
Education, Madhav Nagar, 
Manipal, Karnataka- 576104 , 
2. Manipal Academy of Higher 
Education, Madhav Nagar, 
Manipal, Karnataka- 576104, 
3. Manipal Academy of Higher 
Education, Madhav Nagar, 
Manipal, Karnataka- 576104 ,
4. Kore Additive Manufacturing and 
Medical Reconstruction, Mumbai- 
410210,
5. Kore Additive Manufacturing and 
Medical Reconstruction, Mumbai- 
410210 , 
6. Kore Additive Manufacturing and 
Medical Reconstruction, Mumbai- 
410210 , 
7. Kore Additive Manufacturing and 
Medical Reconstruction, Mumbai- 
410210 </t>
  </si>
  <si>
    <t>1. Research Scholar office,
Academic Block 2, Department of
Civil Engineering, Manipal
Institute of Technology Manipal
Academy of Higher Education,
Manipal, 576104, Karnataka,
India;
2. Assistant Professor (Senior Scale),
Academic Block 2, Department of
Civil Engineering, Manipal
Institute of Technology, MAHE,
Manipal, KA, IN – 576104.; 
3. Professor &amp; HOD, Academic Block
2, Department of Civil
Engineering, Manipal Institute of
Technology, MAHE, Manipal, KA,
IN – 576104.</t>
  </si>
  <si>
    <t>1. Research Scholar
2. Assistant Professor (Senior Scale)
3. Professor &amp; HOD,</t>
  </si>
  <si>
    <t>AR30</t>
  </si>
  <si>
    <t>AR58</t>
  </si>
  <si>
    <t>A FLEXIBLE SELF-HEALING WEARABLE SENSOR AND A METHOD
FOR FABRICATION THEREOF</t>
  </si>
  <si>
    <t>1. Assistant Professor (Selection
Grade)
Department of Biomedical
Engineering, Manipal Institute of
Technology, Manipal Academy of
Higher Education, Manipal,
Karnataka, India-576104;
2. Assistant Professor
Department of Biomedical
Engineering, Manipal Institute of
Technology, Manipal Academy of
Higher Education, Manipal,
Karnataka, India-576104;
3. Associate Professor
Department of Biomedical
Engineering, Manipal Institute of
Technology, Manipal Academy of
Higher Education, Manipal,
Karnataka, India-576104;
 4. Additional Professor, 
Department of Physiotherapy, 
Chairperson, Institutional
Research Committee,
Manipal College of Health
Professions, Manipal Academy of
Higher Education, Manipal,
Karnataka, India-576104;
 5. Department of Biomedical
Engineering, Manipal Institute of
Technology, Manipal Academy of
Higher Education, Manipal,
Karnataka, India-576104;
6. Department of Biomedical
Engineering, Manipal Institute of
Technology, Manipal Academy of
Higher Education, Manipal,
Karnataka, India-576104;
7.  Department of Biomedical
Engineering, Manipal Institute of
Technology, Manipal Academy of
Higher Education, Manipal,
Karnataka, India-576104</t>
  </si>
  <si>
    <t>1. Department of Biomedical
Engineering, Manipal Institute of
Technology
2. Department of Biomedical
Engineering, Manipal Institute of
Technology
3. Department of Biomedical
Engineering, Manipal Institute of
Technology
4. Department of Physiotherapy, Manipal College of Health
Professions
5. Department of Biomedical
Engineering, Manipal Institute of
Technology
6. Department of Biomedical
Engineering, Manipal Institute of
Technology
7. Department of Biomedical
Engineering, Manipal Institute of
Technology</t>
  </si>
  <si>
    <t>1. Assistant Professor
2. Assistant Professor
3. Associate Professor
4.  Additional Professor
5. Student
6. Student
7. Student</t>
  </si>
  <si>
    <t>pramod.kn@manipal.edu</t>
  </si>
  <si>
    <t>AR59</t>
  </si>
  <si>
    <t>A METHOD OF PROCESSING CONSTRUCTION AND DEMOLITION WASTE INTO A SUSTAINABLE CEMENT REPLACEMENT MATERIAL</t>
  </si>
  <si>
    <t>Research Scholar, Department of Civil Engineering, Manipal Institute of Technology, Manipal Academy of Higher Education, Manipal, KA, IN – 576104.;
 Assistant Manager, Sustainability Department, RITES Limited, India; 
Assistant Professor (Senior Scale), Department of Civil Engineering, Manipal Institute of Technology, Manipal Academy of Higher Education, Manipal, KA, IN – 576104.</t>
  </si>
  <si>
    <t>1. Department of Civil Engineering, Manipal Institute of Technology
2. Sustainability Department, RITES Limited
3. Department of Civil Engineering, Manipal Institute of Technology</t>
  </si>
  <si>
    <t xml:space="preserve">1. Student
2.  Assistant Manager
3. Assistant Professor 
</t>
  </si>
  <si>
    <t>praghnakapudaiee@gmail.com
varadharajan.s@manipal.edu</t>
  </si>
  <si>
    <t>1. Chehak Nayyar
 2. Khushi Chahar
 3. Karthik S
 4. Radhika Kapoor</t>
  </si>
  <si>
    <t>AR60</t>
  </si>
  <si>
    <t>A METHOD FOR DEVELOPING A SUSTAINABLE CONCRETE MIX USING FLY ASH AND CONSTRUCTION DEMOLITION WASTE</t>
  </si>
  <si>
    <t xml:space="preserve">1. Student
2.  Assistant Manager
3. Assistant Professor </t>
  </si>
  <si>
    <t>AR61</t>
  </si>
  <si>
    <t>A METHOD OF PRODUCING A HIGH-PERFORMANCE CONCRETE WITH WASTE-BASED CEMENT REPLACEMENTS</t>
  </si>
  <si>
    <t>Research Scholar, Department of Civil Engineering, Manipal Institute of Technology, Manipal Academy of Higher Education, Manipal, KA, IN – 576104.; 
Assistant Manager, Sustainability Department, RITES Limited, India;
 Assistant Professor (Senior Scale), Department of Civil Engineering, Manipal Institute of Technology, Manipal Academy of Higher Education, Manipal, KA, IN – 576104.</t>
  </si>
  <si>
    <t>1. Dasharathraj Kodu Shetty
 2. U. Dinesh Acharya
 3. Jayaraj Mymbilly Balakrishnan
 4. Arka Basumatary
 5. Shreepathy Ranga Bhatta B</t>
  </si>
  <si>
    <t>AR62</t>
  </si>
  <si>
    <t>A METHOD FOR ENHANCING FLEXURAL STRENGTH OF CONCRETE</t>
  </si>
  <si>
    <t>Research Scholar, Department of Civil Engineering, Manipal Institute of Technology, Manipal Academy of Higher Education, Manipal, KA, IN – 576104.;
 Assistant Manager, Sustainability Department, RITES Limited, India; 
Assistant Professor (Senior Scale), Department of Civil Engineering, Manipal Institute of Technology, Manipal Academy of Higher Education, Manipal, KA, IN – 576104.</t>
  </si>
  <si>
    <t>AR63</t>
  </si>
  <si>
    <t>A METHOD OF UTILIZING INDUSTRIAL BYPRODUCTS TO ENHANCE CONCRETE QUALITY</t>
  </si>
  <si>
    <t>1. Anmol Kapoor
 2. Manali Hazarika
 3. Sulatha V Bhandary
 4. Srinivas Mutalik
 5. Raghu Chandrashekhar H
 6. Rahul Pokale</t>
  </si>
  <si>
    <t>AR64</t>
  </si>
  <si>
    <t>A SYSTEM AND METHOD FOR MODULAR AERODYNAMIC
ADAPTABILITY IN MICRO UNMANNED ARIAL VEHICLES</t>
  </si>
  <si>
    <t>1. Department of Aeronautical and
Automobile Engineering 
Manipal Institute of Technology,
Manipal 576104, Karnataka, India;
2. Department of Aeronautical and
Automobile Engineering 
Manipal Institute of Technology,
Manipal 576104, Karnataka, India;
3. Department of Aeronautical and
Automobile Engineering 
Manipal Institute of Technology,
Manipal 576104, Karnataka, India</t>
  </si>
  <si>
    <t>1. Department of Aeronautical and
Automobile Engineering, Manipal Institute of Technology 
2. Department of Aeronautical and
Automobile Engineering, Manipal Institute of Technology 
3. Department of Aeronautical and
Automobile Engineering, Manipal Institute of Technology </t>
  </si>
  <si>
    <t>1. Student
2. Assistant Professor
3. Student</t>
  </si>
  <si>
    <t>bharath1.mitmpl2022@learner.manipal.edu
darren1.mitmpl2022@learner.manipal.edu</t>
  </si>
  <si>
    <t>AR65</t>
  </si>
  <si>
    <t>A METHOD FOR IDENTIFYING A LEAD MOLECULE TO TARGET IDH1
AND IDH2</t>
  </si>
  <si>
    <t>PhD Research Scholar,
Department of Pharmacology,
Manipal College of
Pharmaceutical Sciences, Manipal
Academy of Higher Education,
Manipal 576104, Karnataka,India.; 
Professor, Department of
Pharmacology, Manipal College
of Pharmaceutical Sciences,
Manipal Academy of Higher
Education, Manipal 576104,
Karnataka, India</t>
  </si>
  <si>
    <t>1. Department of Pharmacology,
Manipal College of
Pharmaceutical Sciences
2. Department of
Pharmacology, Manipal College
of Pharmaceutical Sciences</t>
  </si>
  <si>
    <t>1. Student
2. Professor</t>
  </si>
  <si>
    <t>AR34</t>
  </si>
  <si>
    <t>RED</t>
  </si>
  <si>
    <t>pramod.martha@manipal.edu</t>
  </si>
  <si>
    <t xml:space="preserve"> </t>
  </si>
  <si>
    <t>AR66</t>
  </si>
  <si>
    <t>A METHOD FOR IDENTIFYING MOLECULES WITH OPTIMIZED
CENTRAL NERVOUS SYSTEM PENETRATION</t>
  </si>
  <si>
    <t>PhD Research Scholar,
Department of Pharmacology,
Manipal College of
Pharmaceutical Sciences, Manipal
Academy of Higher Education,
Manipal 576104, Karnataka,India.;
 Professor, Department of
Pharmacology, Manipal College
of Pharmaceutical Sciences,
Manipal Academy of Higher
Education, Manipal 576104,
Karnataka, India</t>
  </si>
  <si>
    <t>1. Mahananda R Prabhu
 2. Srinivas Hebbar
 3. Dinesh Upadhya
 4. Anup Naha</t>
  </si>
  <si>
    <t>AR67</t>
  </si>
  <si>
    <t>A QUADRUPED ROBOT WITH HYBRID LEGGED AND SKATING
MOBILITY</t>
  </si>
  <si>
    <t>1.Assistant Professor (Sr-Scale),
Mechatronics Dept., Manipal
Institute of Technology [MIT-
MAHE], Manipal-Udupi-
Karnataka-India, 576104; 
2.Assistant Professor, Mechatronics
Dept., Manipal Institute of
Technology [MIT-MAHE],
Manipal-Udupi-Karnataka-India,
576104;
3.Student, Mechatronics Dept.,
Manipal Institute of Technology
[MIT-MAHE], Manipal-Udupi-
Karnataka-India, 576104</t>
  </si>
  <si>
    <t>1. Department of Mechatronics, Manipal
Institute of Technology 
2. Department of Mechatronics, Manipal
Institute of Technology
3. Department of Mechatronics, Manipal
Institute of Technology</t>
  </si>
  <si>
    <t xml:space="preserve">1. Assistant Professor
2. Assistant Professor
3. Student
</t>
  </si>
  <si>
    <t>AR69</t>
  </si>
  <si>
    <t>A METHOD AND COMPOSITION FOR ROOT CONDITIONING AND 
ANTIMICROBIAL SMEAR LAYER REMOVAL</t>
  </si>
  <si>
    <t xml:space="preserve">Manipal College of Dental 
Sciences, Manipal Academy of 
Higher Education, Manipal- 
576104, Karnataka, India, 
Manipal College of Dental 
Sciences, Manipal Academy of 
Higher Education, Manipal- 
576104, Karnataka, India ,
Manipal College of Dental 
Sciences, Manipal Academy of 
Higher Education, Manipal- 
576104, Karnataka, India </t>
  </si>
  <si>
    <t>1. Manipal College of Dental 
Sciences, MPL
2. Manipal College of Dental 
Sciences, MPL
3. Manipal College of Dental 
Sciences, MPL</t>
  </si>
  <si>
    <t>1. Professor
2. Professor
3. Professor</t>
  </si>
  <si>
    <t>vasudev.ballal@manipal.edu</t>
  </si>
  <si>
    <t>1. Shirley Lewis Salins
 2. Nagaraj Kamath
 3. Sudha D Kamath
 4. Shailendra Kumar Tiwari
 5. Sandhya Parasnath Dubey
 6. Srinivas Shenoy H
 7. Aldrin Rolwin Lewis
 8. Kiran R
 9. Tejas</t>
  </si>
  <si>
    <t>AR73</t>
  </si>
  <si>
    <t>A SYSTEM AND METHOD FOR ASSESSING AND MANAGING PRESSURE ULCERS</t>
  </si>
  <si>
    <t xml:space="preserve">1.PHD SCHOLAR
MANIPAL COLLEGE OF
NURSING, MAHE, MADHAV
NAGAR, MANIPAL, UDUPI –
576104.
2. PROFESSOR
DEPARTMENT OF MEDICAL
SURGICAL NURSING
MANIPAL COLLEGE OF
NURSING, MAHE, MADHAV
NAGAR, MANIPAL, UDUPI –
576104
3. ASSOCIATE PROFESSOR
DEPARTMENT OF CRITICAL
CARE MEDICINE
KASTURBA MEDICAL
COLLEGE, MAHE,
MADHAV NAGAR, MANIPAL,
UDUPI – 576104
4. PROFESSOR
DEPARTMENT OF
INFORMATION &amp;
COMMUNICATION
TECHNOLOGY
MANIPAL INSTITUTE OF
TECHNOLOGY, MAHE,
MANIPAL, UDUPI – 576104
5. DEPARTMENT OF
INFORMATION 
COMMUNICATION
TECHNOLOGY
MANIPAL INSTITUTE OF
TECHNOLOGY, MAHE,
MANIPAL, UDUPI – 576104
6. DEPARTMENT OF
INFORMATION 
COMMUNICATION
TECHNOLOGY
MANIPAL INSTITUTE OF
TECHNOLOGY, MAHE,
MANIPAL, UDUPI – 576104
7. DEPARTMENT OF
INFORMATION AND
COMMUNICATION
TECHNOLOGY
MANIPAL INSTITUTE OF
TECHNOLOGY, MAHE,
MANIPAL, UDUPI – 576104
</t>
  </si>
  <si>
    <t>1. MANIPAL COLLEGE OF
NURSING, MPL
2. DEPARTMENT OF MEDICAL
SURGICAL NURSING
MANIPAL COLLEGE OF
NURSING, MPL
3. DEPARTMENT OF CRITICAL
CARE MEDICINE
KASTURBA MEDICAL
COLLEGE, MPL
4. DEPARTMENT OF MEDICAL
SURGICAL NURSING
MANIPAL COLLEGE OF
NURSING, MPL
5. DEPARTMENT OF
INFORMATION 
COMMUNICATION
TECHNOLOGY
MANIPAL INSTITUTE OF
TECHNOLOGY, MPL
6. DEPARTMENT OF
INFORMATION &amp;amp;
SIDDHARTHA CHHAUDA
COMMUNICATION
TECHNOLOGY, MPL
7. DEPARTMENT OF
INFORMATION AND
COMMUNICATION
TECHNOLOGY
MANIPAL INSTITUTE OF
TECHNOLOGY, MPL</t>
  </si>
  <si>
    <t>1. Student
2. Professor
3. ASSOCIATE PROFESSOR
4. PROFESSOR
5. Student
6. Assistant Professor
7. Student</t>
  </si>
  <si>
    <t>shreenidhijogi@gmail.com</t>
  </si>
  <si>
    <t>Not Filed</t>
  </si>
  <si>
    <t>AR79</t>
  </si>
  <si>
    <t>AN APPARATUS FOR DISPENSING AND APPLYING STERILE ADHESIVE
SHEETS IN SURGICAL ENVIRONMENTS</t>
  </si>
  <si>
    <t>1. Manipal College of Dental
Sciences, Manipal Academy of
Higher Education, Manipal-
576104, Karnataka, India.
2. Manipal College of Dental
Sciences, Manipal Academy of
Higher Education, Manipal-
576104, Karnataka, India
3. Assistant Professor,
Department of Oral and
Maxillofacial Surgery, KMC,
MAHE, Manipal, Karnataka
India-576104</t>
  </si>
  <si>
    <t>1. Manipal College of Dental
Sciences, MPL
2. Manipal College of Dental
Sciences, MPL
3.Department of Oral and
Maxillofacial Surgery, KMC, MPL</t>
  </si>
  <si>
    <t>1. Student
2. Student
3. Assistant Professor</t>
  </si>
  <si>
    <t>radhika.garg@learner.manipal.edu</t>
  </si>
  <si>
    <t>AR82</t>
  </si>
  <si>
    <t>A SYSTEM AND METHOD FOR MANAGING GASTROINTESTINAL LEAKS USING AN ABSORBABLE MEDICATED ENDO-SPONGE</t>
  </si>
  <si>
    <t>1.Professor &amp; Unit Head,
Department of Gastroenterology
&amp; Hepatology,
Kasturba Medical College,
Manipal, MAHE, Manipal-
576104, Karnataka, India; 
2.Associate Professor, Department
of Gastroenterology &amp;
Hepatology,
Kasturba Medical College,
Manipal, MAHE, Manipal-
576104, Karnataka, India; 
3.PhD Scholar, Department of
Gastroenterology &amp; Hepatology,
Kasturba Medical College,
Manipal, MAHE, Manipal
-576104, Karnataka, India</t>
  </si>
  <si>
    <t xml:space="preserve">1. Department of Gastroenterology
&amp; Hepatology,
Kasturba Medical College, MPL
2. Department
of Gastroenterology &amp;
Hepatology, 
Kasturba Medical College, MPL
3. Department of
Gastroenterology &amp; Hepatology,
Kasturba Medical College, MPL
</t>
  </si>
  <si>
    <t xml:space="preserve">1. Professor &amp; Unit Head
2. Associate Professor
3. Student
</t>
  </si>
  <si>
    <t>santanu.kmcmpl2023@learner.manipal.edu</t>
  </si>
  <si>
    <t>1. Kshama Vishwakarma
 2. Asha Kamath</t>
  </si>
  <si>
    <t>AR83</t>
  </si>
  <si>
    <t xml:space="preserve">A SELF-ABSORBABLE BIODEGRADABLE BILIARY STENT AND A METHOD FOR FABRICATING THERE OF                                                       </t>
  </si>
  <si>
    <t>1.Professor &amp; Unit Head,
Department of Gastroenterology
&amp; Hepatology,
Kasturba Medical College,
Manipal, MAHE, Manipal-
576104, Karnataka, India, 
2. Associate Professor, Department
of Gastroenterology &amp;
Hepatology,
Kasturba Medical College,
Manipal, MAHE, Manipal-
576104, Karnataka, India, 
3.PhD Scholar, Department of
Gastroenterology &amp; Hepatology,
Kasturba Medical College,
Manipal, MAHE, Manipal
-576104, Karnataka, India</t>
  </si>
  <si>
    <t xml:space="preserve">
1. Department of Gastroenterology
&amp; Hepatology,
Kasturba Medical College, MPL
2. Department
of Gastroenterology &amp;
Hepatology,
Kasturba Medical College, MPL
3. Department of
Gastroenterology &amp; Hepatology,
Kasturba Medical College, MPL</t>
  </si>
  <si>
    <t>1. Sudheer Moorkoth
 2. Arya Raveendran
 3. Ashutosh Gupta
 4. Leslie E Lewis
 5. Krishnananda Prabhu</t>
  </si>
  <si>
    <t>AR86</t>
  </si>
  <si>
    <t>A SYSTEM AND METHOD FOR PREDICTING COFFEE YIELD USING MACHINE LEARNING MODELS</t>
  </si>
  <si>
    <t>1. Department of
Biotechnology, Manipal
Institute of Technology,
MAHE, Manipal,
Karnataka, India-576104, 
2. Department of Biomedical
Engineering, Manipal
Institute of Technology,
MAHE, Manipal,
Karnataka, India-576104, 
3.Department of Biomedical
Engineering, Manipal
Institute of Technology,
MAHE, Manipal,
Karnataka, India-576104,
4. Department of Computer
Science Engineering (AI
&amp; ML), Manipal Institute
of Technology, MAHE,
Manipal, Karnataka, India-
576104, 
5.Professor, 
Department of
Biotechnology, Manipal
Institute of Technology,
MAHE, Manipal,
Karnataka, India-576104</t>
  </si>
  <si>
    <t xml:space="preserve">1. Department of
Biotechnology, Manipal
Institute of Technology, MPL
2. Department of Biomedical
Engineering, Manipal
Institute of Technology, MPL
3. Department of Biomedical
Engineering, Manipal
Institute of Technology, MPL
4. Department of Computer
Science Engineering (AI
&amp; ML), Manipal Institute
of Technology, MPL
5. Department of
Biotechnology, Manipal
Institute of Technology, MPL
</t>
  </si>
  <si>
    <t>1. Student
2. Student
3. Student
4. Student
5. Professor</t>
  </si>
  <si>
    <t>vigneshvijaysekhar5@gmail.com</t>
  </si>
  <si>
    <t>AR87</t>
  </si>
  <si>
    <t>A METHOD AND COMPOSITION FOR DEVELOPING GELMA-BASED BIO INK FOR REGENERATING THE DENTIN-PULP COMPLEX</t>
  </si>
  <si>
    <t>1. Department of Conservative
Dentistry and Endodontics,
Manipal College of Dental
Sciences, Manipal Academy of
Higher Education, Manipal-
576104, Karnataka, India.
2. Manipal Centre for
Biotherapeutics Research,
Manipal Academy of Higher
Education, Manipal-576104,
Karnataka, India
3. Manipal Centre for
Biotherapeutics Research,
Manipal Academy of Higher
Education, Manipal-576104,
Karnataka, India
4. Department of Conservative
Dentistry and Endodontics,
Manipal College of Dental
Sciences, Manipal Academy of
Higher Education, Manipal-
576104, Karnataka, India</t>
  </si>
  <si>
    <t xml:space="preserve">1. Department of Conservative
Dentistry and Endodontics,
Manipal College of Dental
Sciences, MPL
2. Manipal Centre for
Biotherapeutics Research, MPL
3. Manipal Centre for
Biotherapeutics Research, MPL
4. Department of Conservative
Dentistry and Endodontics,
Manipal College of Dental
Sciences, MPL
</t>
  </si>
  <si>
    <t xml:space="preserve">1. Senior Lecturer
2. Associate Professor
3. Chief Operating Officer (COO)
4. Professor
</t>
  </si>
  <si>
    <t>mayya.arun@manipal.edu</t>
  </si>
  <si>
    <t>AR88</t>
  </si>
  <si>
    <t>A SYSTEM AND METHOD FOR A GRAPH-BASED FRAMEWORK FOR REPRESENTING AND ANALYZING PEDIGREE CHARTS</t>
  </si>
  <si>
    <t>1. Department of Computer Science
and Engineering, Manipal
Institute of Technology, Manipal
Academy of Higher Education,
Manipal - 576104.
2. Department of Computer Science
and Engineering, Manipal
Institute of Technology, Manipal
Academy of Higher Education,
Manipal - 576104</t>
  </si>
  <si>
    <t>1. Department of Computer Science
and Engineering, Manipal
Institute of Technology, MPL
2. Department of Computer Science
and Engineering, Manipal
Institute of Technology, MPL</t>
  </si>
  <si>
    <t>1. Student
2. Assistant Professor</t>
  </si>
  <si>
    <t>nakul1.mitmpl2023@learner.manipal.edu</t>
  </si>
  <si>
    <t>1. Parveez Shariff B. G
 2. Tanweer Ali
 3. Pallavi R. Mane
 4. Sameena Pathan</t>
  </si>
  <si>
    <t>1. PARVEEZ SHARIFF B.G
 2. TANWEER
 3. PALLAVI R. MANE
 4. SAMEENA PATHAN
 5. S VARADHARAJAN</t>
  </si>
  <si>
    <t>1. Vinod C Nayak
 2. Mohd Jahid Riyaz Ahmad Khan</t>
  </si>
  <si>
    <t>change in the ps-cs title</t>
  </si>
  <si>
    <t>1. Aditi Pratap Swain</t>
  </si>
  <si>
    <t>1. Vignesh Balaji E
 2. K. Sreedhara Ranganath Pai</t>
  </si>
  <si>
    <t>1. Archi Rai
 2. Tanvi Rao
 3. Joseph Thomas
 4. Pradeep S</t>
  </si>
  <si>
    <t>1. N. HARIPERUMAL
 2. S. VARADHARAJAN
 3. PURUSHOTHAM G. SARVADE</t>
  </si>
  <si>
    <t>1. Jayita Saha
 2. Snigdha Sen
 3. Prabhsimar Singh Dhingra
 4. Somyajeet Arukh
 5. Venkata Sriya Kamarsu
 6. Amrin Bushra Taj
 7. Anagha Lellapalli</t>
  </si>
  <si>
    <t>jain.vaibhav@manipal.edu</t>
  </si>
  <si>
    <t>AR53</t>
  </si>
  <si>
    <t xml:space="preserve">A METHOD AND COMPOSITION FOR CONCRETE USING LEAD AND ZINC POWDERS AS FINE AGGREGATE REPLACEMENTS </t>
  </si>
  <si>
    <t>Research Scholar office, Academic Block 2, Department of Civil Engineering, Manipal Institute of Technology, MAHE,Manipal, KA, IN–576104.
Assistant Professor (SeniorScale), Academic Block 2,Department of Civil Engineering,Manipal Institute of Technology,MAHE, Manipal, KA, IN–576104.
Professor &amp; Head, Academic Block 2, Department of Civil Engineering, Manipal Institute of Technology, MAHE, Manipal,KA, IN– 576104.</t>
  </si>
  <si>
    <t>1. Swathi Bora
 2. S V Kirthanashri
 3. Varadharajan S
 4. Vaibhavi Shinde
 5. Chaitanya Doshi
 6. Ravindra Doshi
 7. Shriya Pradhan</t>
  </si>
  <si>
    <t>1. Department of Biotherapeutics Research
2. Department of Biotherapeutic Research
3. Department of
Civil Engineering
4. Kore Additive Manufacturing &amp; Medical Reconstruction, Mumbai
5. Kore Additive Manufacturing &amp; Medical Reconstruction, Mumbai
6. Kore Additive Manufacturing &amp; Medical Reconstruction, Mumbai
7. Kore Additive Manufacturing &amp; Medical Reconstruction, Mumbai</t>
  </si>
  <si>
    <t xml:space="preserve">1. Office Associate
2. Associate Professor
3. Associate Professor
4. Biomedical Engineer / Clinical Researcher
5. Founder &amp; Managing Director
6. Director / Senior Consultant
7. Design Engineer / Research Associate
</t>
  </si>
  <si>
    <t>1. Pramod K
 2. Mathew Peter
 3. Jeevan M
 4. Manikandan N
 5. Sahana Kulkarni
 6. Ananya Sharma
 7. Niranjan D B</t>
  </si>
  <si>
    <t>1. E P Praghna
 2. Bharath M
 3. S. Varadharajan</t>
  </si>
  <si>
    <t>1. Bharath Ram Sayiram
 2. U Chirag Shet
 3. Darren Aviv Dmello</t>
  </si>
  <si>
    <t>1. Vignesh Balaji E
2. K. Sreedhara Ranganath Pai</t>
  </si>
  <si>
    <t>1. Spoorthi Singh
 2. Ramya S Moorthy
 3. Uttam Varma P</t>
  </si>
  <si>
    <t>AR68</t>
  </si>
  <si>
    <t>IDF</t>
  </si>
  <si>
    <t>palla.mslsmpl2023@learner.manipal.edu</t>
  </si>
  <si>
    <t>1. N. Vasudev Ballal
 2. Jothi Varghese
 3. Rajkumar Narkedamalli</t>
  </si>
  <si>
    <t>AR69A</t>
  </si>
  <si>
    <t>A DUAL-ACTION ROOT DEBRIDING COMPOSITION FOR ENDODONTIC AND PERIODONTAL APPLICATIONS</t>
  </si>
  <si>
    <t>Madhav Nagar, Manipal, Karnataka, India-576104</t>
  </si>
  <si>
    <t>1. N. VASUDEV BALLAL
 2. JOTHI VARGHESE
 3. RAJKUMAR NARKEDAMALLI</t>
  </si>
  <si>
    <t xml:space="preserve">MANIPAL COLLEGE OF DENTAL SCIENCES, MANIPAL ACADEMY OF HIGHER EDUCATION, MANIPAL, KARNATAKA, INDIA- 576104
MANIPAL COLLEGE OF DENTAL SCIENCES, MANIPAL ACADEMY OF HIGHER EDUCATION, MANIPAL, KARNATAKA, INDIA- 576104
MANIPAL COLLEGE OF DENTAL SCIENCES, MANIPAL ACADEMY OF HIGHER EDUCATION, MANIPAL, KARNATAKA, INDIA- 576104
</t>
  </si>
  <si>
    <t>AR70</t>
  </si>
  <si>
    <t>ashwini.t1@learner.manipal.edu</t>
  </si>
  <si>
    <t>AR71</t>
  </si>
  <si>
    <t>AR72</t>
  </si>
  <si>
    <t>1. SHREENIDHI JOGI
 2. ELSA SANATOMBI DEVI
 3. VISHAL SHANBHAG
 4. AJITHA SHENOY
 5. LAKSHAY CHAUHAN
 6. SIDDHARTHA CHHAUDA
 7. UTKARSH DUBEY</t>
  </si>
  <si>
    <t>AR74</t>
  </si>
  <si>
    <t>debadrita.mslsmpl2023@learner.manipal.edu</t>
  </si>
  <si>
    <t>AR75</t>
  </si>
  <si>
    <t>A SYSTEM AND METHOD FOR DIGITAL MICROSCOPY-BASED
HISTOPATHOLOGICAL LEARNING AND ASSESSMENT</t>
  </si>
  <si>
    <t>1. ANNE D SOUZA
 2. SWATHI PRABHU</t>
  </si>
  <si>
    <t>1.ASSOCIATE PROFESSOR,
DEPARTMENT OF ANATOMY,
KASTURBA MEDICAL
COLLEGE, MANIPAL,
MANIPAL ACADEMY OF
HIGHER EDUCATION,
MANIPAL, KARNATAKA,
INDIA-576104
2. ASSISTANT PROFESSOR,
DEPARTMENT OF
PATHOLOGY, KASTURBA
MEDICAL COLLEGE,
MANIPAL, MANIPAL
ACADEMY OF HIGHER
EDUCATION, MANIPAL,
KARNATAKA, INDIA-576104</t>
  </si>
  <si>
    <t>1. DEPARTMENT OF ANATOMY,
KASTURBA MEDICAL
COLLEGE, MPL
2. DEPARTMENT OF
PATHOLOGY, KASTURBA
MEDICAL COLLEGE, MPL</t>
  </si>
  <si>
    <t>1. ASSOCIATE PROFESSOR
2. ASSISTANT PROFESSOR</t>
  </si>
  <si>
    <t>anne.dsouza@manipal.edu</t>
  </si>
  <si>
    <t>AR76</t>
  </si>
  <si>
    <t>AR77</t>
  </si>
  <si>
    <t>atanu.das@manipal.edu</t>
  </si>
  <si>
    <t>AR78</t>
  </si>
  <si>
    <t>aman.mitmpl2022@learner.manipal.edu</t>
  </si>
  <si>
    <t>1. RADHIKA GARG
 2. SCIYA VIJ
 3. ANUPAM SINGH</t>
  </si>
  <si>
    <t>AR80</t>
  </si>
  <si>
    <t>geetha.mcopsmpl2023@learner.manipal.edu</t>
  </si>
  <si>
    <t>1. Sudheendra Prabhu K
 2. Srinivas G</t>
  </si>
  <si>
    <t>1. Shiran Shetty
 2. Balaji Musunuri
 3. Santanu Mishra</t>
  </si>
  <si>
    <t>AR84</t>
  </si>
  <si>
    <t>AR85</t>
  </si>
  <si>
    <t>ujan.mitmpl2023@learner.manipal.edu</t>
  </si>
  <si>
    <t>1. Karan Sanjay
 2. Lavanya Dalmia
 3. Vignesh Vijaysekhar
 4. Muhammad Zaid Hassan
 5. Ritu Raval</t>
  </si>
  <si>
    <t>1. Arun Mayya
 2. S.V. Kirthanashri
 3. Raviraja N. Seetharam
 4. Shashi Rashmi Acharya</t>
  </si>
  <si>
    <t>22/07/2026/
11/08/2026</t>
  </si>
  <si>
    <t>1. Padavinangady Nakul Bhat
 2. Manoj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</si>
</sst>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yy"/>
  </numFmts>
  <fonts count="13">
    <font>
      <sz val="10"/>
      <color rgb="FF000000"/>
      <name val="Arial"/>
      <scheme val="minor"/>
    </font>
    <font>
      <b/>
      <sz val="11"/>
      <color theme="1"/>
      <name val="Bookman Old Style"/>
    </font>
    <font>
      <b/>
      <sz val="11"/>
      <color rgb="FF000000"/>
      <name val="&quot;Bookman Old Style&quot;"/>
    </font>
    <font>
      <b/>
      <sz val="9"/>
      <color rgb="FF1F2D3D"/>
      <name val="Bookman Old Style"/>
    </font>
    <font>
      <sz val="11"/>
      <color theme="1"/>
      <name val="Bookman Old Style"/>
    </font>
    <font>
      <b/>
      <sz val="11"/>
      <color rgb="FF222222"/>
      <name val="Bookman Old Style"/>
    </font>
    <font>
      <sz val="11"/>
      <color rgb="FF000000"/>
      <name val="&quot;Bookman Old Style&quot;"/>
    </font>
    <font>
      <b/>
      <sz val="11"/>
      <color rgb="FF000000"/>
      <name val="Bookman Old Style"/>
    </font>
    <font>
      <sz val="11"/>
      <color rgb="FF333333"/>
      <name val="Bookman Old Style"/>
    </font>
    <font>
      <sz val="11"/>
      <color rgb="FF000000"/>
      <name val="Bookman Old Style"/>
    </font>
    <font>
      <sz val="9"/>
      <color rgb="FF393939"/>
      <name val="Bookman Old Style"/>
    </font>
    <font>
      <sz val="10"/>
      <color rgb="FF0A0A0A"/>
      <name val="Bookman Old Style"/>
    </font>
    <font>
      <sz val="10"/>
      <color theme="1"/>
      <name val="Bookman Old Style"/>
    </font>
  </fonts>
  <fills count="8">
    <fill>
      <patternFill patternType="none"/>
    </fill>
    <fill>
      <patternFill patternType="gray125"/>
    </fill>
    <fill>
      <patternFill patternType="solid">
        <fgColor rgb="FFB4A7D6"/>
        <bgColor rgb="FFB4A7D6"/>
      </patternFill>
    </fill>
    <fill>
      <patternFill patternType="solid">
        <fgColor rgb="FFFFFFFF"/>
        <bgColor rgb="FFFFFFFF"/>
      </patternFill>
    </fill>
    <fill>
      <patternFill patternType="solid">
        <fgColor rgb="FFF9F9F9"/>
        <bgColor rgb="FFF9F9F9"/>
      </patternFill>
    </fill>
    <fill>
      <patternFill patternType="solid">
        <fgColor rgb="FFF5F5F5"/>
        <bgColor rgb="FFF5F5F5"/>
      </patternFill>
    </fill>
    <fill>
      <patternFill patternType="solid">
        <fgColor theme="0"/>
        <bgColor theme="0"/>
      </patternFill>
    </fill>
    <fill>
      <patternFill patternType="solid">
        <fgColor rgb="FFFF0000"/>
        <bgColor rgb="FFFF00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DDDDDD"/>
      </right>
      <top style="thin">
        <color rgb="FFDDDDDD"/>
      </top>
      <bottom/>
      <diagonal/>
    </border>
  </borders>
  <cellStyleXfs count="1">
    <xf numFmtId="0" fontId="0" fillId="0" borderId="0"/>
  </cellStyleXfs>
  <cellXfs count="43">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64" fontId="1" fillId="3" borderId="0" xfId="0" applyNumberFormat="1" applyFont="1" applyFill="1" applyAlignment="1">
      <alignment horizontal="center" vertical="center" wrapText="1"/>
    </xf>
    <xf numFmtId="0" fontId="1" fillId="3" borderId="0" xfId="0" applyFont="1" applyFill="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5" xfId="0" applyFont="1" applyBorder="1" applyAlignment="1">
      <alignment horizontal="center" vertical="center" wrapText="1"/>
    </xf>
    <xf numFmtId="164"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164" fontId="4" fillId="6"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164" fontId="4" fillId="0" borderId="0" xfId="0" applyNumberFormat="1" applyFont="1" applyAlignment="1">
      <alignment horizontal="center" vertical="center" wrapText="1"/>
    </xf>
    <xf numFmtId="0" fontId="8" fillId="3" borderId="1" xfId="0" applyFont="1" applyFill="1" applyBorder="1" applyAlignment="1">
      <alignment horizontal="center" vertical="center" wrapText="1"/>
    </xf>
    <xf numFmtId="164" fontId="8" fillId="3" borderId="1" xfId="0" applyNumberFormat="1" applyFont="1" applyFill="1" applyBorder="1" applyAlignment="1">
      <alignment horizontal="center" vertical="center" wrapText="1"/>
    </xf>
    <xf numFmtId="14" fontId="8" fillId="3" borderId="1" xfId="0" applyNumberFormat="1" applyFont="1" applyFill="1" applyBorder="1" applyAlignment="1">
      <alignment horizontal="center" vertical="center" wrapText="1"/>
    </xf>
    <xf numFmtId="164" fontId="8" fillId="4" borderId="1" xfId="0" applyNumberFormat="1" applyFont="1" applyFill="1" applyBorder="1" applyAlignment="1">
      <alignment horizontal="center" vertical="center" wrapText="1"/>
    </xf>
    <xf numFmtId="14" fontId="8" fillId="4" borderId="1" xfId="0" applyNumberFormat="1" applyFont="1" applyFill="1" applyBorder="1" applyAlignment="1">
      <alignment horizontal="center" vertical="center" wrapText="1"/>
    </xf>
    <xf numFmtId="0" fontId="8" fillId="6" borderId="0" xfId="0" applyFont="1" applyFill="1" applyAlignment="1">
      <alignment horizontal="center" vertical="center" wrapText="1"/>
    </xf>
    <xf numFmtId="0" fontId="8" fillId="4" borderId="1" xfId="0" applyFont="1" applyFill="1" applyBorder="1" applyAlignment="1">
      <alignment horizontal="center" vertical="center" wrapText="1"/>
    </xf>
    <xf numFmtId="0" fontId="4" fillId="0" borderId="0" xfId="0" applyFont="1" applyAlignment="1">
      <alignment horizontal="center" vertical="center" wrapText="1"/>
    </xf>
    <xf numFmtId="0" fontId="9" fillId="3" borderId="0" xfId="0" applyFont="1" applyFill="1" applyAlignment="1">
      <alignment horizontal="center" vertical="center" wrapText="1"/>
    </xf>
    <xf numFmtId="0" fontId="4" fillId="7"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1" fillId="0" borderId="1" xfId="0" applyFont="1" applyBorder="1" applyAlignment="1">
      <alignment horizontal="center" vertical="center" wrapText="1"/>
    </xf>
    <xf numFmtId="0" fontId="11" fillId="3" borderId="0" xfId="0" applyFont="1" applyFill="1" applyAlignment="1">
      <alignment horizontal="center" vertical="center"/>
    </xf>
    <xf numFmtId="164" fontId="12" fillId="0" borderId="1" xfId="0" applyNumberFormat="1" applyFont="1" applyBorder="1" applyAlignment="1">
      <alignment horizontal="center" vertical="center" wrapText="1"/>
    </xf>
    <xf numFmtId="14" fontId="12" fillId="0" borderId="1" xfId="0" applyNumberFormat="1" applyFont="1" applyBorder="1" applyAlignment="1">
      <alignment horizontal="center" vertical="center" wrapText="1"/>
    </xf>
    <xf numFmtId="49" fontId="10" fillId="5" borderId="6" xfId="0" applyNumberFormat="1" applyFont="1" applyFill="1" applyBorder="1" applyAlignment="1">
      <alignment horizontal="center" vertical="center" wrapText="1"/>
    </xf>
    <xf numFmtId="14" fontId="4"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K188"/>
  <sheetViews>
    <sheetView tabSelected="1" workbookViewId="0">
      <pane xSplit="1" ySplit="1" topLeftCell="B2" activePane="bottomRight" state="frozen"/>
      <selection pane="topRight" activeCell="B1" sqref="B1"/>
      <selection pane="bottomLeft" activeCell="A2" sqref="A2"/>
      <selection pane="bottomRight" activeCell="E2" sqref="E2"/>
    </sheetView>
  </sheetViews>
  <sheetFormatPr defaultColWidth="12.59765625" defaultRowHeight="15.75" customHeight="1"/>
  <cols>
    <col min="1" max="1" width="7.33203125" bestFit="1" customWidth="1"/>
    <col min="2" max="2" width="61.46484375" customWidth="1"/>
    <col min="3" max="3" width="21.86328125" customWidth="1"/>
    <col min="4" max="4" width="53.73046875" customWidth="1"/>
    <col min="5" max="5" width="34.3984375" customWidth="1"/>
    <col min="6" max="7" width="50.1328125" customWidth="1"/>
    <col min="8" max="8" width="34.86328125" customWidth="1"/>
    <col min="9" max="9" width="34" customWidth="1"/>
    <col min="10" max="10" width="18.265625" customWidth="1"/>
    <col min="11" max="11" width="22.59765625" customWidth="1"/>
    <col min="12" max="12" width="18.265625" customWidth="1"/>
    <col min="13" max="14" width="19.46484375" customWidth="1"/>
    <col min="15" max="16" width="25.3984375" customWidth="1"/>
    <col min="17" max="17" width="19.86328125" customWidth="1"/>
    <col min="18" max="18" width="19.86328125" hidden="1" customWidth="1"/>
    <col min="19" max="19" width="15.59765625" customWidth="1"/>
    <col min="20" max="20" width="14.59765625" customWidth="1"/>
    <col min="21" max="21" width="15.46484375" customWidth="1"/>
    <col min="22" max="23" width="19.265625" customWidth="1"/>
    <col min="24" max="24" width="16.59765625" customWidth="1"/>
    <col min="25" max="27" width="16.3984375" customWidth="1"/>
    <col min="28" max="28" width="13.59765625" customWidth="1"/>
    <col min="29" max="29" width="14.3984375" hidden="1" customWidth="1"/>
    <col min="30" max="30" width="18" customWidth="1"/>
    <col min="34" max="34" width="16.1328125" customWidth="1"/>
    <col min="35" max="35" width="17.46484375" customWidth="1"/>
    <col min="44" max="44" width="12.3984375" customWidth="1"/>
    <col min="45" max="45" width="25.73046875" customWidth="1"/>
    <col min="46" max="46" width="31.59765625" customWidth="1"/>
    <col min="47" max="59" width="28.46484375" customWidth="1"/>
    <col min="60" max="60" width="25" customWidth="1"/>
    <col min="61" max="61" width="19" customWidth="1"/>
  </cols>
  <sheetData>
    <row r="1" spans="1:63" ht="41.65">
      <c r="A1" s="1" t="s">
        <v>0</v>
      </c>
      <c r="B1" s="1" t="s">
        <v>1</v>
      </c>
      <c r="C1" s="1" t="s">
        <v>2</v>
      </c>
      <c r="D1" s="1" t="s">
        <v>3</v>
      </c>
      <c r="E1" s="2" t="s">
        <v>4</v>
      </c>
      <c r="F1" s="3" t="s">
        <v>5</v>
      </c>
      <c r="G1" s="4" t="s">
        <v>6</v>
      </c>
      <c r="H1" s="4" t="s">
        <v>7</v>
      </c>
      <c r="I1" s="5" t="s">
        <v>8</v>
      </c>
      <c r="J1" s="6" t="s">
        <v>9</v>
      </c>
      <c r="K1" s="1" t="s">
        <v>10</v>
      </c>
      <c r="L1" s="7" t="s">
        <v>11</v>
      </c>
      <c r="M1" s="8" t="s">
        <v>12</v>
      </c>
      <c r="N1" s="1" t="s">
        <v>13</v>
      </c>
      <c r="O1" s="1" t="s">
        <v>14</v>
      </c>
      <c r="P1" s="9" t="s">
        <v>15</v>
      </c>
      <c r="Q1" s="7" t="s">
        <v>16</v>
      </c>
      <c r="R1" s="1" t="s">
        <v>17</v>
      </c>
      <c r="S1" s="7" t="s">
        <v>18</v>
      </c>
      <c r="T1" s="7" t="s">
        <v>19</v>
      </c>
      <c r="U1" s="10" t="s">
        <v>20</v>
      </c>
      <c r="V1" s="7" t="s">
        <v>21</v>
      </c>
      <c r="W1" s="1" t="s">
        <v>22</v>
      </c>
      <c r="X1" s="7" t="s">
        <v>23</v>
      </c>
      <c r="Y1" s="7" t="s">
        <v>24</v>
      </c>
      <c r="Z1" s="8" t="s">
        <v>25</v>
      </c>
      <c r="AA1" s="7" t="s">
        <v>26</v>
      </c>
      <c r="AB1" s="7" t="s">
        <v>27</v>
      </c>
      <c r="AC1" s="1" t="s">
        <v>28</v>
      </c>
      <c r="AD1" s="9" t="s">
        <v>29</v>
      </c>
      <c r="AE1" s="7" t="s">
        <v>30</v>
      </c>
      <c r="AF1" s="7" t="s">
        <v>31</v>
      </c>
      <c r="AG1" s="9" t="s">
        <v>32</v>
      </c>
      <c r="AH1" s="7" t="s">
        <v>33</v>
      </c>
      <c r="AI1" s="7" t="s">
        <v>34</v>
      </c>
      <c r="AJ1" s="7" t="s">
        <v>35</v>
      </c>
      <c r="AK1" s="1" t="s">
        <v>36</v>
      </c>
      <c r="AL1" s="1" t="s">
        <v>37</v>
      </c>
      <c r="AM1" s="7" t="s">
        <v>38</v>
      </c>
      <c r="AN1" s="7" t="s">
        <v>39</v>
      </c>
      <c r="AO1" s="7" t="s">
        <v>40</v>
      </c>
      <c r="AP1" s="7" t="s">
        <v>41</v>
      </c>
      <c r="AQ1" s="7" t="s">
        <v>42</v>
      </c>
      <c r="AR1" s="7" t="s">
        <v>43</v>
      </c>
      <c r="AS1" s="1" t="s">
        <v>44</v>
      </c>
      <c r="AT1" s="1" t="s">
        <v>45</v>
      </c>
      <c r="AU1" s="7" t="s">
        <v>46</v>
      </c>
      <c r="AV1" s="7" t="s">
        <v>47</v>
      </c>
      <c r="AW1" s="7" t="s">
        <v>48</v>
      </c>
      <c r="AX1" s="1" t="s">
        <v>49</v>
      </c>
      <c r="AY1" s="7" t="s">
        <v>50</v>
      </c>
      <c r="AZ1" s="7" t="s">
        <v>51</v>
      </c>
      <c r="BA1" s="7" t="s">
        <v>52</v>
      </c>
      <c r="BB1" s="1" t="s">
        <v>53</v>
      </c>
      <c r="BC1" s="1" t="s">
        <v>54</v>
      </c>
      <c r="BD1" s="1" t="s">
        <v>55</v>
      </c>
      <c r="BE1" s="1" t="s">
        <v>56</v>
      </c>
      <c r="BF1" s="1" t="s">
        <v>57</v>
      </c>
      <c r="BG1" s="1" t="s">
        <v>58</v>
      </c>
      <c r="BH1" s="1" t="s">
        <v>59</v>
      </c>
      <c r="BI1" s="11" t="s">
        <v>60</v>
      </c>
      <c r="BJ1" s="12"/>
      <c r="BK1" s="12"/>
    </row>
    <row r="2" spans="1:63" ht="194.25">
      <c r="A2" s="13" t="s">
        <v>62</v>
      </c>
      <c r="B2" s="13" t="s">
        <v>63</v>
      </c>
      <c r="C2" s="13" t="s">
        <v>65</v>
      </c>
      <c r="D2" s="13" t="s">
        <v>65</v>
      </c>
      <c r="E2" s="15" t="s">
        <v>66</v>
      </c>
      <c r="F2" s="13" t="s">
        <v>69</v>
      </c>
      <c r="G2" s="16" t="s">
        <v>74</v>
      </c>
      <c r="H2" s="16" t="s">
        <v>78</v>
      </c>
      <c r="I2" s="16" t="s">
        <v>79</v>
      </c>
      <c r="J2" s="13">
        <v>8722633300</v>
      </c>
      <c r="K2" s="13">
        <v>202441019532</v>
      </c>
      <c r="L2" s="17">
        <v>45367</v>
      </c>
      <c r="M2" s="18">
        <v>45551</v>
      </c>
      <c r="N2" s="13" t="s">
        <v>84</v>
      </c>
      <c r="O2" s="18" t="str">
        <f t="shared" ref="O2:O69" si="0">IF(NOT(ISNUMBER(L2)),
   "PS Not yet filed",
   IF(NOT(ISNUMBER(M2)),
      "Not yet Postdated",
      IF(DATEDIF(M2,EDATE(L2,6),"m")&lt;1,
         "0 months left (" &amp; DATEDIF(M2,EDATE(L2,6),"d") &amp; " days)",
         (6 - DATEDIF(L2,M2,"m")) &amp; " months left (" &amp; DATEDIF(M2,EDATE(L2,6),"d") &amp; " days)"
      )
   )
)</f>
        <v>0 months left (0 days)</v>
      </c>
      <c r="P2" s="18">
        <f t="shared" ref="P2:P89" si="1">IFERROR(IF(M2="", NA(), EDATE(M2, 12)), IFERROR(IF(L2="", NA(), EDATE(L2, 12)), ""))</f>
        <v>45916</v>
      </c>
      <c r="Q2" s="17">
        <v>45573</v>
      </c>
      <c r="R2" s="13" t="s">
        <v>87</v>
      </c>
      <c r="S2" s="17">
        <f t="shared" ref="S2:S89" si="2">IF(ISNUMBER(M2), EDATE(M2, 6), IF(ISNUMBER(L2), EDATE(L2, 6), IF(ISNUMBER(Q2), EDATE(Q2, 6), "NA")))</f>
        <v>45732</v>
      </c>
      <c r="T2" s="17">
        <v>45732</v>
      </c>
      <c r="U2" s="17">
        <f t="shared" ref="U2:U89" si="3">IF(ISNUMBER(M2), EDATE(M2, 3), IF(ISNUMBER(L2), EDATE(L2, 3), IF(ISNUMBER(Q2), EDATE(Q2, 3), "NA")))</f>
        <v>45642</v>
      </c>
      <c r="V2" s="20">
        <v>45465</v>
      </c>
      <c r="W2" s="13" t="s">
        <v>89</v>
      </c>
      <c r="X2" s="17">
        <v>45582</v>
      </c>
      <c r="Y2" s="13" t="s">
        <v>75</v>
      </c>
      <c r="Z2" s="13" t="s">
        <v>75</v>
      </c>
      <c r="AA2" s="17">
        <v>45582</v>
      </c>
      <c r="AB2" s="17">
        <v>45583</v>
      </c>
      <c r="AC2" s="18" t="e">
        <f>IF(VALUE(LEFT(AB2,FIND("/",AB2)-1))&gt;12,"DD/MM/YYYY","Possibly MM/DD/YYYY")</f>
        <v>#VALUE!</v>
      </c>
      <c r="AD2" s="19" t="str">
        <f t="shared" ref="AD2:AD89" si="4">IF(OR(AB2="",ISTEXT(AB2)),AB2,TEXT(INT((AB2-(DATE(YEAR(AB2),1,1)+MOD(4-WEEKDAY(DATE(YEAR(AB2),1,1),3),7)))/7)+1,"00")&amp;"/"&amp;YEAR(AB2))</f>
        <v>42/2024</v>
      </c>
      <c r="AE2" s="17" t="s">
        <v>75</v>
      </c>
      <c r="AF2" s="18" t="str">
        <f t="shared" ref="AF2:AF69" si="5">IF(OR(AE2="", AE2="NA"), "NA", IFERROR(EDATE(AE2, 6), "NA"))</f>
        <v>NA</v>
      </c>
      <c r="AG2" s="19" t="s">
        <v>75</v>
      </c>
      <c r="AH2" s="17" t="s">
        <v>75</v>
      </c>
      <c r="AI2" s="18" t="str">
        <f t="shared" ref="AI2:AI69" si="6">IF(ISNUMBER(AE2), EDATE(AE2, 3), "NA")</f>
        <v>NA</v>
      </c>
      <c r="AJ2" s="17" t="s">
        <v>75</v>
      </c>
      <c r="AK2" s="17" t="s">
        <v>75</v>
      </c>
      <c r="AL2" s="17"/>
      <c r="AM2" s="17"/>
      <c r="AN2" s="17" t="s">
        <v>75</v>
      </c>
      <c r="AO2" s="17"/>
      <c r="AP2" s="17" t="s">
        <v>75</v>
      </c>
      <c r="AQ2" s="17" t="s">
        <v>75</v>
      </c>
      <c r="AR2" s="17" t="s">
        <v>75</v>
      </c>
      <c r="AS2" s="13" t="str">
        <f ca="1">IF(OR(S2=0, S2=""), "No F1 deadline to compare", IF(T2&gt;0, IF(T2&gt;S2, "Filed after " &amp; (T2-S2) &amp; " days of deadline", "Filed within deadline"), IF(TODAY()&gt;S2, "Delayed by " &amp; (TODAY()-S2) &amp; " days", (S2-TODAY()) &amp; " days left")))</f>
        <v>Filed within deadline</v>
      </c>
      <c r="AT2" s="21" t="str">
        <f ca="1">IF(OR(TRIM(U2)="", U2=0), "No F26 deadline to compare", IF(AND(TRIM(V2)&lt;&gt;"", ISNUMBER(V2)), IF(V2&gt;U2, "Filed after " &amp; (V2-U2) &amp; " days of deadline", "Filed within deadline"), IF(TODAY()&gt;U2, "Delayed by " &amp; (TODAY()-U2) &amp; " days", (U2-TODAY()) &amp; " days left")))</f>
        <v>Filed within deadline</v>
      </c>
      <c r="AU2" s="22"/>
      <c r="AV2" s="22"/>
      <c r="AW2" s="22"/>
      <c r="AX2" s="21"/>
      <c r="AY2" s="22"/>
      <c r="AZ2" s="22"/>
      <c r="BA2" s="22"/>
      <c r="BB2" s="21"/>
      <c r="BC2" s="21"/>
      <c r="BD2" s="21"/>
      <c r="BE2" s="21"/>
      <c r="BF2" s="21"/>
      <c r="BG2" s="21"/>
      <c r="BH2" s="13" t="str">
        <f>IF(AND(AP2&lt;&gt;"",ISNUMBER(AP2)),"Patent Refused",IF(AND(AN2&lt;&gt;"",ISNUMBER(AN2)),"Patent Granted",IF(AND(AM2&lt;&gt;"",ISNUMBER(AM2)),"WS Filed",IF(AND(AND(AK2&lt;&gt;"",ISNUMBER(AK2)),NOT(AND(AM2&lt;&gt;"",ISNUMBER(AM2)))),"Hearing Attended - WS Not Filed",IF(AND(AND(AJ2&lt;&gt;"",ISNUMBER(AJ2)),NOT(AND(AK2&lt;&gt;"",ISNUMBER(AK2)))),"Hearing Issued",IF(AND(AG2&lt;&gt;"",ISNUMBER(AG2)),"FER Reply Filed",IF(AND(AND(AE2&lt;&gt;"",ISNUMBER(AE2)),NOT(AND(AG2&lt;&gt;"",ISNUMBER(AG2)))),"FER Received - Reply Not Filed",IF(AND(AB2&lt;&gt;"",ISNUMBER(AB2)),"Published",IF(AND(AND(X2&lt;&gt;"",ISNUMBER(X2)),AND(AA2&lt;&gt;"",ISNUMBER(AA2))),"F9 &amp; F18 Filed",IF(AND(NOT(AND(X2&lt;&gt;"",ISNUMBER(X2))),AND(AA2&lt;&gt;"",ISNUMBER(AA2))),"F9 Not Filed - F18 Filed",IF(AND(AND(X2&lt;&gt;"",ISNUMBER(X2)),NOT(AND(AA2&lt;&gt;"",ISNUMBER(AA2)))),"F9 Filed - F18 Not Filed",IF(AND(NOT(AND(L2&lt;&gt;"",ISNUMBER(L2))),AND(Q2&lt;&gt;"",ISNUMBER(Q2)),NOT(AND(X2&lt;&gt;"",ISNUMBER(X2))),NOT(AND(AA2&lt;&gt;"",ISNUMBER(AA2)))),"Direct CS Filed - F9 &amp; F18 Not Filed",IF(AND(AND(L2&lt;&gt;"",ISNUMBER(L2)),AND(Q2&lt;&gt;"",ISNUMBER(Q2)),NOT(AND(X2&lt;&gt;"",ISNUMBER(X2))),NOT(AND(AA2&lt;&gt;"",ISNUMBER(AA2)))),"PS-CS Filed - F9 &amp; F18 Not Filed",IF(AND(AND(L2&lt;&gt;"",ISNUMBER(L2)),NOT(AND(Q2&lt;&gt;"",ISNUMBER(Q2)))),"PS Filed - CS Not Filed","Not Started"))))))))))))))</f>
        <v>Published</v>
      </c>
      <c r="BI2" s="23"/>
      <c r="BJ2" s="31"/>
      <c r="BK2" s="31"/>
    </row>
    <row r="3" spans="1:63" ht="69.400000000000006">
      <c r="A3" s="13" t="s">
        <v>152</v>
      </c>
      <c r="B3" s="31" t="s">
        <v>153</v>
      </c>
      <c r="C3" s="13" t="s">
        <v>65</v>
      </c>
      <c r="D3" s="13" t="s">
        <v>67</v>
      </c>
      <c r="E3" s="15" t="s">
        <v>154</v>
      </c>
      <c r="F3" s="13" t="s">
        <v>155</v>
      </c>
      <c r="G3" s="13" t="s">
        <v>156</v>
      </c>
      <c r="H3" s="13" t="s">
        <v>156</v>
      </c>
      <c r="I3" s="13"/>
      <c r="J3" s="13" t="s">
        <v>75</v>
      </c>
      <c r="K3" s="13">
        <v>202441011217</v>
      </c>
      <c r="L3" s="17">
        <v>45340</v>
      </c>
      <c r="M3" s="13" t="s">
        <v>75</v>
      </c>
      <c r="N3" s="13" t="s">
        <v>84</v>
      </c>
      <c r="O3" s="18" t="str">
        <f t="shared" si="0"/>
        <v>Not yet Postdated</v>
      </c>
      <c r="P3" s="18">
        <f t="shared" si="1"/>
        <v>45706</v>
      </c>
      <c r="Q3" s="17">
        <v>45706</v>
      </c>
      <c r="R3" s="18"/>
      <c r="S3" s="17">
        <f t="shared" si="2"/>
        <v>45522</v>
      </c>
      <c r="T3" s="17">
        <v>45340</v>
      </c>
      <c r="U3" s="17">
        <f t="shared" si="3"/>
        <v>45430</v>
      </c>
      <c r="V3" s="17">
        <v>45465</v>
      </c>
      <c r="W3" s="13" t="s">
        <v>89</v>
      </c>
      <c r="X3" s="17">
        <v>45735</v>
      </c>
      <c r="Y3" s="13" t="s">
        <v>75</v>
      </c>
      <c r="Z3" s="18"/>
      <c r="AA3" s="17">
        <v>45735</v>
      </c>
      <c r="AB3" s="17">
        <v>45737</v>
      </c>
      <c r="AC3" s="18" t="e">
        <f t="shared" ref="AC3:AC69" si="7">IF(VALUE(LEFT(AB3,FIND("/",AB3)-1))&gt;12,"DD/MM/YYYY","Possibly MM/DD/YYYY")</f>
        <v>#VALUE!</v>
      </c>
      <c r="AD3" s="19" t="str">
        <f t="shared" si="4"/>
        <v>12/2025</v>
      </c>
      <c r="AE3" s="17">
        <v>46183</v>
      </c>
      <c r="AF3" s="18">
        <f t="shared" si="5"/>
        <v>46366</v>
      </c>
      <c r="AG3" s="19" t="s">
        <v>75</v>
      </c>
      <c r="AH3" s="17">
        <v>46185</v>
      </c>
      <c r="AI3" s="18">
        <f t="shared" si="6"/>
        <v>46275</v>
      </c>
      <c r="AJ3" s="17" t="s">
        <v>75</v>
      </c>
      <c r="AK3" s="17" t="s">
        <v>75</v>
      </c>
      <c r="AL3" s="17"/>
      <c r="AM3" s="17" t="s">
        <v>75</v>
      </c>
      <c r="AN3" s="17" t="s">
        <v>75</v>
      </c>
      <c r="AO3" s="17"/>
      <c r="AP3" s="17" t="s">
        <v>75</v>
      </c>
      <c r="AQ3" s="17" t="s">
        <v>75</v>
      </c>
      <c r="AR3" s="17" t="s">
        <v>75</v>
      </c>
      <c r="AS3" s="13" t="str">
        <f ca="1">IF(OR(S3=0, S3=""), "No F1 deadline to compare", IF(T3&gt;0, IF(T3&gt;S3, "Filed after " &amp; (T3-S3) &amp; " days of deadline", "Filed within deadline"), IF(TODAY()&gt;S3, "Delayed by " &amp; (TODAY()-S3) &amp; " days", (S3-TODAY()) &amp; " days left")))</f>
        <v>Filed within deadline</v>
      </c>
      <c r="AT3" s="21" t="str">
        <f ca="1">IF(OR(TRIM(U3)="", U3=0), "No F26 deadline to compare", IF(AND(TRIM(V3)&lt;&gt;"", ISNUMBER(V3)), IF(V3&gt;U3, "Filed after " &amp; (V3-U3) &amp; " days of deadline", "Filed within deadline"), IF(TODAY()&gt;U3, "Delayed by " &amp; (TODAY()-U3) &amp; " days", (U3-TODAY()) &amp; " days left")))</f>
        <v>Filed after 35 days of deadline</v>
      </c>
      <c r="AU3" s="22"/>
      <c r="AV3" s="22"/>
      <c r="AW3" s="22"/>
      <c r="AX3" s="21"/>
      <c r="AY3" s="22"/>
      <c r="AZ3" s="22"/>
      <c r="BA3" s="22"/>
      <c r="BB3" s="21"/>
      <c r="BC3" s="21"/>
      <c r="BD3" s="21"/>
      <c r="BE3" s="21"/>
      <c r="BF3" s="21"/>
      <c r="BG3" s="21"/>
      <c r="BH3" s="13" t="str">
        <f>IF(AND(AP3&lt;&gt;"",ISNUMBER(AP3)),"Patent Refused",IF(AND(AN3&lt;&gt;"",ISNUMBER(AN3)),"Patent Granted",IF(AND(AM3&lt;&gt;"",ISNUMBER(AM3)),"WS Filed",IF(AND(AND(AK3&lt;&gt;"",ISNUMBER(AK3)),NOT(AND(AM3&lt;&gt;"",ISNUMBER(AM3)))),"Hearing Attended - WS Not Filed",IF(AND(AND(AJ3&lt;&gt;"",ISNUMBER(AJ3)),NOT(AND(AK3&lt;&gt;"",ISNUMBER(AK3)))),"Hearing Issued",IF(AND(AG3&lt;&gt;"",ISNUMBER(AG3)),"FER Reply Filed",IF(AND(AND(AE3&lt;&gt;"",ISNUMBER(AE3)),NOT(AND(AG3&lt;&gt;"",ISNUMBER(AG3)))),"FER Received - Reply Not Filed",IF(AND(AB3&lt;&gt;"",ISNUMBER(AB3)),"Published",IF(AND(AND(X3&lt;&gt;"",ISNUMBER(X3)),AND(AA3&lt;&gt;"",ISNUMBER(AA3))),"F9 &amp; F18 Filed",IF(AND(NOT(AND(X3&lt;&gt;"",ISNUMBER(X3))),AND(AA3&lt;&gt;"",ISNUMBER(AA3))),"F9 Not Filed - F18 Filed",IF(AND(AND(X3&lt;&gt;"",ISNUMBER(X3)),NOT(AND(AA3&lt;&gt;"",ISNUMBER(AA3)))),"F9 Filed - F18 Not Filed",IF(AND(NOT(AND(L3&lt;&gt;"",ISNUMBER(L3))),AND(Q3&lt;&gt;"",ISNUMBER(Q3)),NOT(AND(X3&lt;&gt;"",ISNUMBER(X3))),NOT(AND(AA3&lt;&gt;"",ISNUMBER(AA3)))),"Direct CS Filed - F9 &amp; F18 Not Filed",IF(AND(AND(L3&lt;&gt;"",ISNUMBER(L3)),AND(Q3&lt;&gt;"",ISNUMBER(Q3)),NOT(AND(X3&lt;&gt;"",ISNUMBER(X3))),NOT(AND(AA3&lt;&gt;"",ISNUMBER(AA3)))),"PS-CS Filed - F9 &amp; F18 Not Filed",IF(AND(AND(L3&lt;&gt;"",ISNUMBER(L3)),NOT(AND(Q3&lt;&gt;"",ISNUMBER(Q3)))),"PS Filed - CS Not Filed","Not Started"))))))))))))))</f>
        <v>FER Received - Reply Not Filed</v>
      </c>
      <c r="BI3" s="23"/>
      <c r="BJ3" s="31"/>
      <c r="BK3" s="31"/>
    </row>
    <row r="4" spans="1:63" ht="360.75">
      <c r="A4" s="13" t="s">
        <v>71</v>
      </c>
      <c r="B4" s="14" t="s">
        <v>76</v>
      </c>
      <c r="C4" s="13" t="s">
        <v>65</v>
      </c>
      <c r="D4" s="13" t="s">
        <v>80</v>
      </c>
      <c r="E4" s="15" t="s">
        <v>171</v>
      </c>
      <c r="F4" s="13" t="s">
        <v>82</v>
      </c>
      <c r="G4" s="13" t="s">
        <v>83</v>
      </c>
      <c r="H4" s="13" t="s">
        <v>85</v>
      </c>
      <c r="I4" s="13" t="s">
        <v>86</v>
      </c>
      <c r="J4" s="13">
        <v>8053732239</v>
      </c>
      <c r="K4" s="13">
        <v>202441032547</v>
      </c>
      <c r="L4" s="17"/>
      <c r="M4" s="18"/>
      <c r="N4" s="18"/>
      <c r="O4" s="18" t="str">
        <f t="shared" si="0"/>
        <v>PS Not yet filed</v>
      </c>
      <c r="P4" s="18" t="str">
        <f t="shared" si="1"/>
        <v/>
      </c>
      <c r="Q4" s="17">
        <v>45406</v>
      </c>
      <c r="R4" s="18"/>
      <c r="S4" s="17">
        <f t="shared" si="2"/>
        <v>45589</v>
      </c>
      <c r="T4" s="17">
        <v>45465</v>
      </c>
      <c r="U4" s="17">
        <f t="shared" si="3"/>
        <v>45497</v>
      </c>
      <c r="V4" s="17">
        <v>45460</v>
      </c>
      <c r="W4" s="13" t="s">
        <v>89</v>
      </c>
      <c r="X4" s="17">
        <v>45459</v>
      </c>
      <c r="Y4" s="17"/>
      <c r="Z4" s="18"/>
      <c r="AA4" s="17">
        <v>45461</v>
      </c>
      <c r="AB4" s="17">
        <v>45464</v>
      </c>
      <c r="AC4" s="18" t="e">
        <f t="shared" si="7"/>
        <v>#VALUE!</v>
      </c>
      <c r="AD4" s="19" t="str">
        <f t="shared" si="4"/>
        <v>25/2024</v>
      </c>
      <c r="AE4" s="17" t="s">
        <v>75</v>
      </c>
      <c r="AF4" s="18" t="str">
        <f t="shared" si="5"/>
        <v>NA</v>
      </c>
      <c r="AG4" s="19" t="s">
        <v>75</v>
      </c>
      <c r="AH4" s="17" t="s">
        <v>75</v>
      </c>
      <c r="AI4" s="18" t="str">
        <f t="shared" si="6"/>
        <v>NA</v>
      </c>
      <c r="AJ4" s="17" t="s">
        <v>75</v>
      </c>
      <c r="AK4" s="17" t="s">
        <v>75</v>
      </c>
      <c r="AL4" s="17"/>
      <c r="AM4" s="17" t="s">
        <v>75</v>
      </c>
      <c r="AN4" s="17" t="s">
        <v>75</v>
      </c>
      <c r="AO4" s="17"/>
      <c r="AP4" s="17" t="s">
        <v>75</v>
      </c>
      <c r="AQ4" s="17" t="s">
        <v>75</v>
      </c>
      <c r="AR4" s="17" t="s">
        <v>75</v>
      </c>
      <c r="AS4" s="13" t="str">
        <f ca="1">IF(OR(S4=0, S4=""), "No F1 deadline to compare", IF(T4&gt;0, IF(T4&gt;S4, "Filed after " &amp; (T4-S4) &amp; " days of deadline", "Filed within deadline"), IF(TODAY()&gt;S4, "Delayed by " &amp; (TODAY()-S4) &amp; " days", (S4-TODAY()) &amp; " days left")))</f>
        <v>Filed within deadline</v>
      </c>
      <c r="AT4" s="21" t="str">
        <f ca="1">IF(OR(TRIM(U4)="", U4=0), "No F26 deadline to compare", IF(AND(TRIM(V4)&lt;&gt;"", ISNUMBER(V4)), IF(V4&gt;U4, "Filed after " &amp; (V4-U4) &amp; " days of deadline", "Filed within deadline"), IF(TODAY()&gt;U4, "Delayed by " &amp; (TODAY()-U4) &amp; " days", (U4-TODAY()) &amp; " days left")))</f>
        <v>Filed within deadline</v>
      </c>
      <c r="AU4" s="22"/>
      <c r="AV4" s="22"/>
      <c r="AW4" s="22"/>
      <c r="AX4" s="21"/>
      <c r="AY4" s="22"/>
      <c r="AZ4" s="22"/>
      <c r="BA4" s="22"/>
      <c r="BB4" s="21"/>
      <c r="BC4" s="21"/>
      <c r="BD4" s="21"/>
      <c r="BE4" s="21"/>
      <c r="BF4" s="21"/>
      <c r="BG4" s="21"/>
      <c r="BH4" s="13" t="str">
        <f>IF(AND(AP4&lt;&gt;"",ISNUMBER(AP4)),"Patent Refused",IF(AND(AN4&lt;&gt;"",ISNUMBER(AN4)),"Patent Granted",IF(AND(AM4&lt;&gt;"",ISNUMBER(AM4)),"WS Filed",IF(AND(AND(AK4&lt;&gt;"",ISNUMBER(AK4)),NOT(AND(AM4&lt;&gt;"",ISNUMBER(AM4)))),"Hearing Attended - WS Not Filed",IF(AND(AND(AJ4&lt;&gt;"",ISNUMBER(AJ4)),NOT(AND(AK4&lt;&gt;"",ISNUMBER(AK4)))),"Hearing Issued",IF(AND(AG4&lt;&gt;"",ISNUMBER(AG4)),"FER Reply Filed",IF(AND(AND(AE4&lt;&gt;"",ISNUMBER(AE4)),NOT(AND(AG4&lt;&gt;"",ISNUMBER(AG4)))),"FER Received - Reply Not Filed",IF(AND(AB4&lt;&gt;"",ISNUMBER(AB4)),"Published",IF(AND(AND(X4&lt;&gt;"",ISNUMBER(X4)),AND(AA4&lt;&gt;"",ISNUMBER(AA4))),"F9 &amp; F18 Filed",IF(AND(NOT(AND(X4&lt;&gt;"",ISNUMBER(X4))),AND(AA4&lt;&gt;"",ISNUMBER(AA4))),"F9 Not Filed - F18 Filed",IF(AND(AND(X4&lt;&gt;"",ISNUMBER(X4)),NOT(AND(AA4&lt;&gt;"",ISNUMBER(AA4)))),"F9 Filed - F18 Not Filed",IF(AND(NOT(AND(L4&lt;&gt;"",ISNUMBER(L4))),AND(Q4&lt;&gt;"",ISNUMBER(Q4)),NOT(AND(X4&lt;&gt;"",ISNUMBER(X4))),NOT(AND(AA4&lt;&gt;"",ISNUMBER(AA4)))),"Direct CS Filed - F9 &amp; F18 Not Filed",IF(AND(AND(L4&lt;&gt;"",ISNUMBER(L4)),AND(Q4&lt;&gt;"",ISNUMBER(Q4)),NOT(AND(X4&lt;&gt;"",ISNUMBER(X4))),NOT(AND(AA4&lt;&gt;"",ISNUMBER(AA4)))),"PS-CS Filed - F9 &amp; F18 Not Filed",IF(AND(AND(L4&lt;&gt;"",ISNUMBER(L4)),NOT(AND(Q4&lt;&gt;"",ISNUMBER(Q4)))),"PS Filed - CS Not Filed","Not Started"))))))))))))))</f>
        <v>Published</v>
      </c>
      <c r="BI4" s="23"/>
      <c r="BJ4" s="31"/>
      <c r="BK4" s="31"/>
    </row>
    <row r="5" spans="1:63" ht="235.9">
      <c r="A5" s="13" t="s">
        <v>61</v>
      </c>
      <c r="B5" s="14" t="s">
        <v>64</v>
      </c>
      <c r="C5" s="13" t="s">
        <v>77</v>
      </c>
      <c r="D5" s="13" t="s">
        <v>67</v>
      </c>
      <c r="E5" s="15" t="s">
        <v>183</v>
      </c>
      <c r="F5" s="13" t="s">
        <v>68</v>
      </c>
      <c r="G5" s="13" t="s">
        <v>70</v>
      </c>
      <c r="H5" s="13" t="s">
        <v>72</v>
      </c>
      <c r="I5" s="13" t="s">
        <v>73</v>
      </c>
      <c r="J5" s="13" t="s">
        <v>75</v>
      </c>
      <c r="K5" s="13">
        <v>202441046450</v>
      </c>
      <c r="L5" s="17">
        <v>45460</v>
      </c>
      <c r="M5" s="18">
        <v>45643</v>
      </c>
      <c r="N5" s="13" t="s">
        <v>84</v>
      </c>
      <c r="O5" s="18" t="str">
        <f t="shared" si="0"/>
        <v>0 months left (0 days)</v>
      </c>
      <c r="P5" s="18">
        <f t="shared" si="1"/>
        <v>46008</v>
      </c>
      <c r="Q5" s="17">
        <v>46008</v>
      </c>
      <c r="R5" s="18"/>
      <c r="S5" s="17">
        <f t="shared" si="2"/>
        <v>45825</v>
      </c>
      <c r="T5" s="17">
        <v>45573</v>
      </c>
      <c r="U5" s="17">
        <f t="shared" si="3"/>
        <v>45733</v>
      </c>
      <c r="V5" s="17">
        <v>45465</v>
      </c>
      <c r="W5" s="13" t="s">
        <v>89</v>
      </c>
      <c r="X5" s="17">
        <v>46066</v>
      </c>
      <c r="Y5" s="17"/>
      <c r="Z5" s="18"/>
      <c r="AA5" s="17">
        <v>46169</v>
      </c>
      <c r="AB5" s="17">
        <v>46073</v>
      </c>
      <c r="AC5" s="18" t="e">
        <f t="shared" si="7"/>
        <v>#VALUE!</v>
      </c>
      <c r="AD5" s="19" t="str">
        <f t="shared" si="4"/>
        <v>08/2026</v>
      </c>
      <c r="AE5" s="17" t="s">
        <v>75</v>
      </c>
      <c r="AF5" s="18" t="str">
        <f t="shared" si="5"/>
        <v>NA</v>
      </c>
      <c r="AG5" s="19" t="s">
        <v>75</v>
      </c>
      <c r="AH5" s="17"/>
      <c r="AI5" s="18" t="str">
        <f t="shared" si="6"/>
        <v>NA</v>
      </c>
      <c r="AJ5" s="17" t="s">
        <v>75</v>
      </c>
      <c r="AK5" s="17" t="s">
        <v>75</v>
      </c>
      <c r="AL5" s="17"/>
      <c r="AM5" s="17" t="s">
        <v>75</v>
      </c>
      <c r="AN5" s="17" t="s">
        <v>75</v>
      </c>
      <c r="AO5" s="17"/>
      <c r="AP5" s="17" t="s">
        <v>75</v>
      </c>
      <c r="AQ5" s="17" t="s">
        <v>75</v>
      </c>
      <c r="AR5" s="17" t="s">
        <v>75</v>
      </c>
      <c r="AS5" s="13" t="str">
        <f ca="1">IF(OR(S5=0, S5=""), "No F1 deadline to compare", IF(T5&gt;0, IF(T5&gt;S5, "Filed after " &amp; (T5-S5) &amp; " days of deadline", "Filed within deadline"), IF(TODAY()&gt;S5, "Delayed by " &amp; (TODAY()-S5) &amp; " days", (S5-TODAY()) &amp; " days left")))</f>
        <v>Filed within deadline</v>
      </c>
      <c r="AT5" s="21" t="str">
        <f ca="1">IF(OR(TRIM(U5)="", U5=0), "No F26 deadline to compare", IF(AND(TRIM(V5)&lt;&gt;"", ISNUMBER(V5)), IF(V5&gt;U5, "Filed after " &amp; (V5-U5) &amp; " days of deadline", "Filed within deadline"), IF(TODAY()&gt;U5, "Delayed by " &amp; (TODAY()-U5) &amp; " days", (U5-TODAY()) &amp; " days left")))</f>
        <v>Filed within deadline</v>
      </c>
      <c r="AU5" s="22"/>
      <c r="AV5" s="22"/>
      <c r="AW5" s="22"/>
      <c r="AX5" s="21"/>
      <c r="AY5" s="22"/>
      <c r="AZ5" s="22"/>
      <c r="BA5" s="22"/>
      <c r="BB5" s="21"/>
      <c r="BC5" s="21"/>
      <c r="BD5" s="21"/>
      <c r="BE5" s="21"/>
      <c r="BF5" s="21"/>
      <c r="BG5" s="21"/>
      <c r="BH5" s="13" t="str">
        <f>IF(AND(AP5&lt;&gt;"",ISNUMBER(AP5)),"Patent Refused",IF(AND(AN5&lt;&gt;"",ISNUMBER(AN5)),"Patent Granted",IF(AND(AM5&lt;&gt;"",ISNUMBER(AM5)),"WS Filed",IF(AND(AND(AK5&lt;&gt;"",ISNUMBER(AK5)),NOT(AND(AM5&lt;&gt;"",ISNUMBER(AM5)))),"Hearing Attended - WS Not Filed",IF(AND(AND(AJ5&lt;&gt;"",ISNUMBER(AJ5)),NOT(AND(AK5&lt;&gt;"",ISNUMBER(AK5)))),"Hearing Issued",IF(AND(AG5&lt;&gt;"",ISNUMBER(AG5)),"FER Reply Filed",IF(AND(AND(AE5&lt;&gt;"",ISNUMBER(AE5)),NOT(AND(AG5&lt;&gt;"",ISNUMBER(AG5)))),"FER Received - Reply Not Filed",IF(AND(AB5&lt;&gt;"",ISNUMBER(AB5)),"Published",IF(AND(AND(X5&lt;&gt;"",ISNUMBER(X5)),AND(AA5&lt;&gt;"",ISNUMBER(AA5))),"F9 &amp; F18 Filed",IF(AND(NOT(AND(X5&lt;&gt;"",ISNUMBER(X5))),AND(AA5&lt;&gt;"",ISNUMBER(AA5))),"F9 Not Filed - F18 Filed",IF(AND(AND(X5&lt;&gt;"",ISNUMBER(X5)),NOT(AND(AA5&lt;&gt;"",ISNUMBER(AA5)))),"F9 Filed - F18 Not Filed",IF(AND(NOT(AND(L5&lt;&gt;"",ISNUMBER(L5))),AND(Q5&lt;&gt;"",ISNUMBER(Q5)),NOT(AND(X5&lt;&gt;"",ISNUMBER(X5))),NOT(AND(AA5&lt;&gt;"",ISNUMBER(AA5)))),"Direct CS Filed - F9 &amp; F18 Not Filed",IF(AND(AND(L5&lt;&gt;"",ISNUMBER(L5)),AND(Q5&lt;&gt;"",ISNUMBER(Q5)),NOT(AND(X5&lt;&gt;"",ISNUMBER(X5))),NOT(AND(AA5&lt;&gt;"",ISNUMBER(AA5)))),"PS-CS Filed - F9 &amp; F18 Not Filed",IF(AND(AND(L5&lt;&gt;"",ISNUMBER(L5)),NOT(AND(Q5&lt;&gt;"",ISNUMBER(Q5)))),"PS Filed - CS Not Filed","Not Started"))))))))))))))</f>
        <v>Published</v>
      </c>
      <c r="BI5" s="23"/>
      <c r="BJ5" s="31"/>
      <c r="BK5" s="31"/>
    </row>
    <row r="6" spans="1:63" ht="111">
      <c r="A6" s="13" t="s">
        <v>90</v>
      </c>
      <c r="B6" s="14" t="s">
        <v>91</v>
      </c>
      <c r="C6" s="13" t="s">
        <v>65</v>
      </c>
      <c r="D6" s="13" t="s">
        <v>67</v>
      </c>
      <c r="E6" s="15" t="s">
        <v>197</v>
      </c>
      <c r="F6" s="13" t="s">
        <v>92</v>
      </c>
      <c r="G6" s="13" t="s">
        <v>93</v>
      </c>
      <c r="H6" s="13" t="s">
        <v>94</v>
      </c>
      <c r="I6" s="13" t="s">
        <v>95</v>
      </c>
      <c r="J6" s="13" t="s">
        <v>75</v>
      </c>
      <c r="K6" s="13">
        <v>202441032235</v>
      </c>
      <c r="L6" s="17"/>
      <c r="M6" s="18"/>
      <c r="N6" s="18"/>
      <c r="O6" s="18" t="str">
        <f t="shared" si="0"/>
        <v>PS Not yet filed</v>
      </c>
      <c r="P6" s="18" t="str">
        <f t="shared" si="1"/>
        <v/>
      </c>
      <c r="Q6" s="17">
        <v>45405</v>
      </c>
      <c r="R6" s="18"/>
      <c r="S6" s="17">
        <f t="shared" si="2"/>
        <v>45588</v>
      </c>
      <c r="T6" s="17">
        <v>45405</v>
      </c>
      <c r="U6" s="17">
        <f t="shared" si="3"/>
        <v>45496</v>
      </c>
      <c r="V6" s="17">
        <v>45465</v>
      </c>
      <c r="W6" s="13" t="s">
        <v>89</v>
      </c>
      <c r="X6" s="17">
        <v>45461</v>
      </c>
      <c r="Y6" s="17"/>
      <c r="Z6" s="18"/>
      <c r="AA6" s="17">
        <v>45461</v>
      </c>
      <c r="AB6" s="17">
        <v>45464</v>
      </c>
      <c r="AC6" s="18" t="e">
        <f t="shared" si="7"/>
        <v>#VALUE!</v>
      </c>
      <c r="AD6" s="19" t="str">
        <f t="shared" si="4"/>
        <v>25/2024</v>
      </c>
      <c r="AE6" s="17" t="s">
        <v>75</v>
      </c>
      <c r="AF6" s="18" t="str">
        <f t="shared" si="5"/>
        <v>NA</v>
      </c>
      <c r="AG6" s="19" t="s">
        <v>75</v>
      </c>
      <c r="AH6" s="17"/>
      <c r="AI6" s="18" t="str">
        <f t="shared" si="6"/>
        <v>NA</v>
      </c>
      <c r="AJ6" s="17" t="s">
        <v>75</v>
      </c>
      <c r="AK6" s="17" t="s">
        <v>75</v>
      </c>
      <c r="AL6" s="17"/>
      <c r="AM6" s="17" t="s">
        <v>75</v>
      </c>
      <c r="AN6" s="17" t="s">
        <v>75</v>
      </c>
      <c r="AO6" s="17"/>
      <c r="AP6" s="17" t="s">
        <v>75</v>
      </c>
      <c r="AQ6" s="17" t="s">
        <v>75</v>
      </c>
      <c r="AR6" s="17" t="s">
        <v>75</v>
      </c>
      <c r="AS6" s="13" t="str">
        <f ca="1">IF(OR(S6=0, S6=""), "No F1 deadline to compare", IF(T6&gt;0, IF(T6&gt;S6, "Filed after " &amp; (T6-S6) &amp; " days of deadline", "Filed within deadline"), IF(TODAY()&gt;S6, "Delayed by " &amp; (TODAY()-S6) &amp; " days", (S6-TODAY()) &amp; " days left")))</f>
        <v>Filed within deadline</v>
      </c>
      <c r="AT6" s="21" t="str">
        <f ca="1">IF(OR(TRIM(U6)="", U6=0), "No F26 deadline to compare", IF(AND(TRIM(V6)&lt;&gt;"", ISNUMBER(V6)), IF(V6&gt;U6, "Filed after " &amp; (V6-U6) &amp; " days of deadline", "Filed within deadline"), IF(TODAY()&gt;U6, "Delayed by " &amp; (TODAY()-U6) &amp; " days", (U6-TODAY()) &amp; " days left")))</f>
        <v>Filed within deadline</v>
      </c>
      <c r="AU6" s="22"/>
      <c r="AV6" s="22"/>
      <c r="AW6" s="22"/>
      <c r="AX6" s="21"/>
      <c r="AY6" s="22"/>
      <c r="AZ6" s="22"/>
      <c r="BA6" s="22"/>
      <c r="BB6" s="21"/>
      <c r="BC6" s="21"/>
      <c r="BD6" s="21"/>
      <c r="BE6" s="21"/>
      <c r="BF6" s="21"/>
      <c r="BG6" s="21"/>
      <c r="BH6" s="13" t="str">
        <f>IF(AND(AP6&lt;&gt;"",ISNUMBER(AP6)),"Patent Refused",IF(AND(AN6&lt;&gt;"",ISNUMBER(AN6)),"Patent Granted",IF(AND(AM6&lt;&gt;"",ISNUMBER(AM6)),"WS Filed",IF(AND(AND(AK6&lt;&gt;"",ISNUMBER(AK6)),NOT(AND(AM6&lt;&gt;"",ISNUMBER(AM6)))),"Hearing Attended - WS Not Filed",IF(AND(AND(AJ6&lt;&gt;"",ISNUMBER(AJ6)),NOT(AND(AK6&lt;&gt;"",ISNUMBER(AK6)))),"Hearing Issued",IF(AND(AG6&lt;&gt;"",ISNUMBER(AG6)),"FER Reply Filed",IF(AND(AND(AE6&lt;&gt;"",ISNUMBER(AE6)),NOT(AND(AG6&lt;&gt;"",ISNUMBER(AG6)))),"FER Received - Reply Not Filed",IF(AND(AB6&lt;&gt;"",ISNUMBER(AB6)),"Published",IF(AND(AND(X6&lt;&gt;"",ISNUMBER(X6)),AND(AA6&lt;&gt;"",ISNUMBER(AA6))),"F9 &amp; F18 Filed",IF(AND(NOT(AND(X6&lt;&gt;"",ISNUMBER(X6))),AND(AA6&lt;&gt;"",ISNUMBER(AA6))),"F9 Not Filed - F18 Filed",IF(AND(AND(X6&lt;&gt;"",ISNUMBER(X6)),NOT(AND(AA6&lt;&gt;"",ISNUMBER(AA6)))),"F9 Filed - F18 Not Filed",IF(AND(NOT(AND(L6&lt;&gt;"",ISNUMBER(L6))),AND(Q6&lt;&gt;"",ISNUMBER(Q6)),NOT(AND(X6&lt;&gt;"",ISNUMBER(X6))),NOT(AND(AA6&lt;&gt;"",ISNUMBER(AA6)))),"Direct CS Filed - F9 &amp; F18 Not Filed",IF(AND(AND(L6&lt;&gt;"",ISNUMBER(L6)),AND(Q6&lt;&gt;"",ISNUMBER(Q6)),NOT(AND(X6&lt;&gt;"",ISNUMBER(X6))),NOT(AND(AA6&lt;&gt;"",ISNUMBER(AA6)))),"PS-CS Filed - F9 &amp; F18 Not Filed",IF(AND(AND(L6&lt;&gt;"",ISNUMBER(L6)),NOT(AND(Q6&lt;&gt;"",ISNUMBER(Q6)))),"PS Filed - CS Not Filed","Not Started"))))))))))))))</f>
        <v>Published</v>
      </c>
      <c r="BI6" s="23"/>
      <c r="BJ6" s="31"/>
      <c r="BK6" s="31"/>
    </row>
    <row r="7" spans="1:63" ht="263.64999999999998">
      <c r="A7" s="13" t="s">
        <v>203</v>
      </c>
      <c r="B7" s="14" t="s">
        <v>204</v>
      </c>
      <c r="C7" s="13" t="s">
        <v>96</v>
      </c>
      <c r="D7" s="13" t="s">
        <v>67</v>
      </c>
      <c r="E7" s="15" t="s">
        <v>206</v>
      </c>
      <c r="F7" s="13" t="s">
        <v>207</v>
      </c>
      <c r="G7" s="13" t="s">
        <v>208</v>
      </c>
      <c r="H7" s="13" t="s">
        <v>209</v>
      </c>
      <c r="I7" s="13" t="s">
        <v>116</v>
      </c>
      <c r="J7" s="13" t="s">
        <v>75</v>
      </c>
      <c r="K7" s="13">
        <v>202441022191</v>
      </c>
      <c r="L7" s="17">
        <v>45373</v>
      </c>
      <c r="M7" s="18"/>
      <c r="N7" s="18"/>
      <c r="O7" s="18" t="str">
        <f t="shared" si="0"/>
        <v>Not yet Postdated</v>
      </c>
      <c r="P7" s="18">
        <f t="shared" si="1"/>
        <v>45738</v>
      </c>
      <c r="Q7" s="17">
        <v>45537</v>
      </c>
      <c r="R7" s="18"/>
      <c r="S7" s="17">
        <f t="shared" si="2"/>
        <v>45557</v>
      </c>
      <c r="T7" s="17">
        <v>45467</v>
      </c>
      <c r="U7" s="17">
        <f t="shared" si="3"/>
        <v>45465</v>
      </c>
      <c r="V7" s="17">
        <v>45465</v>
      </c>
      <c r="W7" s="13" t="s">
        <v>89</v>
      </c>
      <c r="X7" s="17">
        <v>45582</v>
      </c>
      <c r="Y7" s="17"/>
      <c r="Z7" s="18"/>
      <c r="AA7" s="17">
        <v>45582</v>
      </c>
      <c r="AB7" s="17">
        <v>45583</v>
      </c>
      <c r="AC7" s="18" t="e">
        <f t="shared" si="7"/>
        <v>#VALUE!</v>
      </c>
      <c r="AD7" s="19" t="str">
        <f t="shared" si="4"/>
        <v>42/2024</v>
      </c>
      <c r="AE7" s="17">
        <v>46227</v>
      </c>
      <c r="AF7" s="18">
        <f t="shared" si="5"/>
        <v>46411</v>
      </c>
      <c r="AG7" s="19" t="s">
        <v>75</v>
      </c>
      <c r="AH7" s="17">
        <v>46258</v>
      </c>
      <c r="AI7" s="18">
        <f t="shared" si="6"/>
        <v>46319</v>
      </c>
      <c r="AJ7" s="17" t="s">
        <v>75</v>
      </c>
      <c r="AK7" s="17" t="s">
        <v>75</v>
      </c>
      <c r="AL7" s="17"/>
      <c r="AM7" s="17" t="s">
        <v>75</v>
      </c>
      <c r="AN7" s="17" t="s">
        <v>75</v>
      </c>
      <c r="AO7" s="17"/>
      <c r="AP7" s="17" t="s">
        <v>75</v>
      </c>
      <c r="AQ7" s="17" t="s">
        <v>75</v>
      </c>
      <c r="AR7" s="17" t="s">
        <v>75</v>
      </c>
      <c r="AS7" s="13" t="str">
        <f ca="1">IF(OR(S7=0, S7=""), "No F1 deadline to compare", IF(T7&gt;0, IF(T7&gt;S7, "Filed after " &amp; (T7-S7) &amp; " days of deadline", "Filed within deadline"), IF(TODAY()&gt;S7, "Delayed by " &amp; (TODAY()-S7) &amp; " days", (S7-TODAY()) &amp; " days left")))</f>
        <v>Filed within deadline</v>
      </c>
      <c r="AT7" s="21" t="str">
        <f ca="1">IF(OR(TRIM(U7)="", U7=0), "No F26 deadline to compare", IF(AND(TRIM(V7)&lt;&gt;"", ISNUMBER(V7)), IF(V7&gt;U7, "Filed after " &amp; (V7-U7) &amp; " days of deadline", "Filed within deadline"), IF(TODAY()&gt;U7, "Delayed by " &amp; (TODAY()-U7) &amp; " days", (U7-TODAY()) &amp; " days left")))</f>
        <v>Filed within deadline</v>
      </c>
      <c r="AU7" s="22"/>
      <c r="AV7" s="22"/>
      <c r="AW7" s="22"/>
      <c r="AX7" s="21"/>
      <c r="AY7" s="22"/>
      <c r="AZ7" s="22"/>
      <c r="BA7" s="22"/>
      <c r="BB7" s="21"/>
      <c r="BC7" s="21"/>
      <c r="BD7" s="21"/>
      <c r="BE7" s="21"/>
      <c r="BF7" s="21"/>
      <c r="BG7" s="21"/>
      <c r="BH7" s="13" t="str">
        <f>IF(AND(AP7&lt;&gt;"",ISNUMBER(AP7)),"Patent Refused",IF(AND(AN7&lt;&gt;"",ISNUMBER(AN7)),"Patent Granted",IF(AND(AM7&lt;&gt;"",ISNUMBER(AM7)),"WS Filed",IF(AND(AND(AK7&lt;&gt;"",ISNUMBER(AK7)),NOT(AND(AM7&lt;&gt;"",ISNUMBER(AM7)))),"Hearing Attended - WS Not Filed",IF(AND(AND(AJ7&lt;&gt;"",ISNUMBER(AJ7)),NOT(AND(AK7&lt;&gt;"",ISNUMBER(AK7)))),"Hearing Issued",IF(AND(AG7&lt;&gt;"",ISNUMBER(AG7)),"FER Reply Filed",IF(AND(AND(AE7&lt;&gt;"",ISNUMBER(AE7)),NOT(AND(AG7&lt;&gt;"",ISNUMBER(AG7)))),"FER Received - Reply Not Filed",IF(AND(AB7&lt;&gt;"",ISNUMBER(AB7)),"Published",IF(AND(AND(X7&lt;&gt;"",ISNUMBER(X7)),AND(AA7&lt;&gt;"",ISNUMBER(AA7))),"F9 &amp; F18 Filed",IF(AND(NOT(AND(X7&lt;&gt;"",ISNUMBER(X7))),AND(AA7&lt;&gt;"",ISNUMBER(AA7))),"F9 Not Filed - F18 Filed",IF(AND(AND(X7&lt;&gt;"",ISNUMBER(X7)),NOT(AND(AA7&lt;&gt;"",ISNUMBER(AA7)))),"F9 Filed - F18 Not Filed",IF(AND(NOT(AND(L7&lt;&gt;"",ISNUMBER(L7))),AND(Q7&lt;&gt;"",ISNUMBER(Q7)),NOT(AND(X7&lt;&gt;"",ISNUMBER(X7))),NOT(AND(AA7&lt;&gt;"",ISNUMBER(AA7)))),"Direct CS Filed - F9 &amp; F18 Not Filed",IF(AND(AND(L7&lt;&gt;"",ISNUMBER(L7)),AND(Q7&lt;&gt;"",ISNUMBER(Q7)),NOT(AND(X7&lt;&gt;"",ISNUMBER(X7))),NOT(AND(AA7&lt;&gt;"",ISNUMBER(AA7)))),"PS-CS Filed - F9 &amp; F18 Not Filed",IF(AND(AND(L7&lt;&gt;"",ISNUMBER(L7)),NOT(AND(Q7&lt;&gt;"",ISNUMBER(Q7)))),"PS Filed - CS Not Filed","Not Started"))))))))))))))</f>
        <v>FER Received - Reply Not Filed</v>
      </c>
      <c r="BI7" s="23"/>
      <c r="BJ7" s="31"/>
      <c r="BK7" s="31"/>
    </row>
    <row r="8" spans="1:63" ht="208.15">
      <c r="A8" s="13" t="s">
        <v>221</v>
      </c>
      <c r="B8" s="14" t="s">
        <v>222</v>
      </c>
      <c r="C8" s="13" t="s">
        <v>96</v>
      </c>
      <c r="D8" s="13" t="s">
        <v>67</v>
      </c>
      <c r="E8" s="15" t="s">
        <v>225</v>
      </c>
      <c r="F8" s="13" t="s">
        <v>226</v>
      </c>
      <c r="G8" s="13" t="s">
        <v>124</v>
      </c>
      <c r="H8" s="13" t="s">
        <v>227</v>
      </c>
      <c r="I8" s="13" t="s">
        <v>126</v>
      </c>
      <c r="J8" s="13" t="s">
        <v>75</v>
      </c>
      <c r="K8" s="13">
        <v>202441022192</v>
      </c>
      <c r="L8" s="17">
        <v>45373</v>
      </c>
      <c r="M8" s="18"/>
      <c r="N8" s="18"/>
      <c r="O8" s="18" t="str">
        <f t="shared" si="0"/>
        <v>Not yet Postdated</v>
      </c>
      <c r="P8" s="18">
        <f t="shared" si="1"/>
        <v>45738</v>
      </c>
      <c r="Q8" s="17">
        <v>45537</v>
      </c>
      <c r="R8" s="18"/>
      <c r="S8" s="17">
        <f t="shared" si="2"/>
        <v>45557</v>
      </c>
      <c r="T8" s="17">
        <v>45465</v>
      </c>
      <c r="U8" s="17">
        <f t="shared" si="3"/>
        <v>45465</v>
      </c>
      <c r="V8" s="17">
        <v>45465</v>
      </c>
      <c r="W8" s="13" t="s">
        <v>89</v>
      </c>
      <c r="X8" s="17">
        <v>45582</v>
      </c>
      <c r="Y8" s="17"/>
      <c r="Z8" s="18"/>
      <c r="AA8" s="17">
        <v>45582</v>
      </c>
      <c r="AB8" s="17">
        <v>45583</v>
      </c>
      <c r="AC8" s="18" t="e">
        <f t="shared" si="7"/>
        <v>#VALUE!</v>
      </c>
      <c r="AD8" s="19" t="str">
        <f t="shared" si="4"/>
        <v>42/2024</v>
      </c>
      <c r="AE8" s="17">
        <v>46251</v>
      </c>
      <c r="AF8" s="18">
        <f t="shared" si="5"/>
        <v>46435</v>
      </c>
      <c r="AG8" s="19" t="s">
        <v>75</v>
      </c>
      <c r="AH8" s="17">
        <v>46258</v>
      </c>
      <c r="AI8" s="18">
        <f t="shared" si="6"/>
        <v>46343</v>
      </c>
      <c r="AJ8" s="17" t="s">
        <v>75</v>
      </c>
      <c r="AK8" s="17" t="s">
        <v>75</v>
      </c>
      <c r="AL8" s="17"/>
      <c r="AM8" s="17" t="s">
        <v>75</v>
      </c>
      <c r="AN8" s="17" t="s">
        <v>75</v>
      </c>
      <c r="AO8" s="17"/>
      <c r="AP8" s="17" t="s">
        <v>75</v>
      </c>
      <c r="AQ8" s="17" t="s">
        <v>75</v>
      </c>
      <c r="AR8" s="17" t="s">
        <v>75</v>
      </c>
      <c r="AS8" s="13" t="str">
        <f ca="1">IF(OR(S8=0, S8=""), "No F1 deadline to compare", IF(T8&gt;0, IF(T8&gt;S8, "Filed after " &amp; (T8-S8) &amp; " days of deadline", "Filed within deadline"), IF(TODAY()&gt;S8, "Delayed by " &amp; (TODAY()-S8) &amp; " days", (S8-TODAY()) &amp; " days left")))</f>
        <v>Filed within deadline</v>
      </c>
      <c r="AT8" s="21" t="str">
        <f ca="1">IF(OR(TRIM(U8)="", U8=0), "No F26 deadline to compare", IF(AND(TRIM(V8)&lt;&gt;"", ISNUMBER(V8)), IF(V8&gt;U8, "Filed after " &amp; (V8-U8) &amp; " days of deadline", "Filed within deadline"), IF(TODAY()&gt;U8, "Delayed by " &amp; (TODAY()-U8) &amp; " days", (U8-TODAY()) &amp; " days left")))</f>
        <v>Filed within deadline</v>
      </c>
      <c r="AU8" s="22"/>
      <c r="AV8" s="22"/>
      <c r="AW8" s="22"/>
      <c r="AX8" s="21"/>
      <c r="AY8" s="22"/>
      <c r="AZ8" s="22"/>
      <c r="BA8" s="22"/>
      <c r="BB8" s="21"/>
      <c r="BC8" s="21"/>
      <c r="BD8" s="21"/>
      <c r="BE8" s="21"/>
      <c r="BF8" s="21"/>
      <c r="BG8" s="21"/>
      <c r="BH8" s="13" t="str">
        <f>IF(AND(AP8&lt;&gt;"",ISNUMBER(AP8)),"Patent Refused",IF(AND(AN8&lt;&gt;"",ISNUMBER(AN8)),"Patent Granted",IF(AND(AM8&lt;&gt;"",ISNUMBER(AM8)),"WS Filed",IF(AND(AND(AK8&lt;&gt;"",ISNUMBER(AK8)),NOT(AND(AM8&lt;&gt;"",ISNUMBER(AM8)))),"Hearing Attended - WS Not Filed",IF(AND(AND(AJ8&lt;&gt;"",ISNUMBER(AJ8)),NOT(AND(AK8&lt;&gt;"",ISNUMBER(AK8)))),"Hearing Issued",IF(AND(AG8&lt;&gt;"",ISNUMBER(AG8)),"FER Reply Filed",IF(AND(AND(AE8&lt;&gt;"",ISNUMBER(AE8)),NOT(AND(AG8&lt;&gt;"",ISNUMBER(AG8)))),"FER Received - Reply Not Filed",IF(AND(AB8&lt;&gt;"",ISNUMBER(AB8)),"Published",IF(AND(AND(X8&lt;&gt;"",ISNUMBER(X8)),AND(AA8&lt;&gt;"",ISNUMBER(AA8))),"F9 &amp; F18 Filed",IF(AND(NOT(AND(X8&lt;&gt;"",ISNUMBER(X8))),AND(AA8&lt;&gt;"",ISNUMBER(AA8))),"F9 Not Filed - F18 Filed",IF(AND(AND(X8&lt;&gt;"",ISNUMBER(X8)),NOT(AND(AA8&lt;&gt;"",ISNUMBER(AA8)))),"F9 Filed - F18 Not Filed",IF(AND(NOT(AND(L8&lt;&gt;"",ISNUMBER(L8))),AND(Q8&lt;&gt;"",ISNUMBER(Q8)),NOT(AND(X8&lt;&gt;"",ISNUMBER(X8))),NOT(AND(AA8&lt;&gt;"",ISNUMBER(AA8)))),"Direct CS Filed - F9 &amp; F18 Not Filed",IF(AND(AND(L8&lt;&gt;"",ISNUMBER(L8)),AND(Q8&lt;&gt;"",ISNUMBER(Q8)),NOT(AND(X8&lt;&gt;"",ISNUMBER(X8))),NOT(AND(AA8&lt;&gt;"",ISNUMBER(AA8)))),"PS-CS Filed - F9 &amp; F18 Not Filed",IF(AND(AND(L8&lt;&gt;"",ISNUMBER(L8)),NOT(AND(Q8&lt;&gt;"",ISNUMBER(Q8)))),"PS Filed - CS Not Filed","Not Started"))))))))))))))</f>
        <v>FER Received - Reply Not Filed</v>
      </c>
      <c r="BI8" s="23"/>
      <c r="BJ8" s="31"/>
      <c r="BK8" s="31"/>
    </row>
    <row r="9" spans="1:63" ht="69.400000000000006">
      <c r="A9" s="13" t="s">
        <v>103</v>
      </c>
      <c r="B9" s="14" t="s">
        <v>104</v>
      </c>
      <c r="C9" s="13" t="s">
        <v>96</v>
      </c>
      <c r="D9" s="13" t="s">
        <v>67</v>
      </c>
      <c r="E9" s="15" t="s">
        <v>238</v>
      </c>
      <c r="F9" s="13" t="s">
        <v>105</v>
      </c>
      <c r="G9" s="13"/>
      <c r="H9" s="13"/>
      <c r="I9" s="13" t="s">
        <v>106</v>
      </c>
      <c r="J9" s="13" t="s">
        <v>75</v>
      </c>
      <c r="K9" s="13">
        <v>202441046441</v>
      </c>
      <c r="L9" s="25"/>
      <c r="M9" s="26"/>
      <c r="N9" s="26"/>
      <c r="O9" s="18" t="str">
        <f t="shared" si="0"/>
        <v>PS Not yet filed</v>
      </c>
      <c r="P9" s="18" t="str">
        <f t="shared" si="1"/>
        <v/>
      </c>
      <c r="Q9" s="17">
        <v>45460</v>
      </c>
      <c r="R9" s="18"/>
      <c r="S9" s="17">
        <f t="shared" si="2"/>
        <v>45643</v>
      </c>
      <c r="T9" s="17">
        <v>45460</v>
      </c>
      <c r="U9" s="17">
        <f t="shared" si="3"/>
        <v>45552</v>
      </c>
      <c r="V9" s="25">
        <v>45465</v>
      </c>
      <c r="W9" s="13" t="s">
        <v>107</v>
      </c>
      <c r="X9" s="25">
        <v>45465</v>
      </c>
      <c r="Y9" s="25"/>
      <c r="Z9" s="26"/>
      <c r="AA9" s="25">
        <v>45465</v>
      </c>
      <c r="AB9" s="17">
        <v>45471</v>
      </c>
      <c r="AC9" s="18" t="e">
        <f t="shared" si="7"/>
        <v>#VALUE!</v>
      </c>
      <c r="AD9" s="19" t="str">
        <f t="shared" si="4"/>
        <v>26/2024</v>
      </c>
      <c r="AE9" s="17">
        <v>46192</v>
      </c>
      <c r="AF9" s="18">
        <f t="shared" si="5"/>
        <v>46375</v>
      </c>
      <c r="AG9" s="19" t="s">
        <v>75</v>
      </c>
      <c r="AH9" s="17">
        <v>46196</v>
      </c>
      <c r="AI9" s="18">
        <f t="shared" si="6"/>
        <v>46284</v>
      </c>
      <c r="AJ9" s="17" t="s">
        <v>75</v>
      </c>
      <c r="AK9" s="17" t="s">
        <v>75</v>
      </c>
      <c r="AL9" s="17"/>
      <c r="AM9" s="17" t="s">
        <v>75</v>
      </c>
      <c r="AN9" s="17" t="s">
        <v>75</v>
      </c>
      <c r="AO9" s="17"/>
      <c r="AP9" s="17" t="s">
        <v>75</v>
      </c>
      <c r="AQ9" s="17" t="s">
        <v>75</v>
      </c>
      <c r="AR9" s="17" t="s">
        <v>75</v>
      </c>
      <c r="AS9" s="13" t="str">
        <f ca="1">IF(OR(S9=0, S9=""), "No F1 deadline to compare", IF(T9&gt;0, IF(T9&gt;S9, "Filed after " &amp; (T9-S9) &amp; " days of deadline", "Filed within deadline"), IF(TODAY()&gt;S9, "Delayed by " &amp; (TODAY()-S9) &amp; " days", (S9-TODAY()) &amp; " days left")))</f>
        <v>Filed within deadline</v>
      </c>
      <c r="AT9" s="21" t="str">
        <f ca="1">IF(OR(TRIM(U9)="", U9=0), "No F26 deadline to compare", IF(AND(TRIM(V9)&lt;&gt;"", ISNUMBER(V9)), IF(V9&gt;U9, "Filed after " &amp; (V9-U9) &amp; " days of deadline", "Filed within deadline"), IF(TODAY()&gt;U9, "Delayed by " &amp; (TODAY()-U9) &amp; " days", (U9-TODAY()) &amp; " days left")))</f>
        <v>Filed within deadline</v>
      </c>
      <c r="AU9" s="22"/>
      <c r="AV9" s="22"/>
      <c r="AW9" s="22"/>
      <c r="AX9" s="21"/>
      <c r="AY9" s="22"/>
      <c r="AZ9" s="22"/>
      <c r="BA9" s="22"/>
      <c r="BB9" s="21"/>
      <c r="BC9" s="21"/>
      <c r="BD9" s="21"/>
      <c r="BE9" s="21"/>
      <c r="BF9" s="21"/>
      <c r="BG9" s="21"/>
      <c r="BH9" s="13" t="str">
        <f>IF(AND(AP9&lt;&gt;"",ISNUMBER(AP9)),"Patent Refused",IF(AND(AN9&lt;&gt;"",ISNUMBER(AN9)),"Patent Granted",IF(AND(AM9&lt;&gt;"",ISNUMBER(AM9)),"WS Filed",IF(AND(AND(AK9&lt;&gt;"",ISNUMBER(AK9)),NOT(AND(AM9&lt;&gt;"",ISNUMBER(AM9)))),"Hearing Attended - WS Not Filed",IF(AND(AND(AJ9&lt;&gt;"",ISNUMBER(AJ9)),NOT(AND(AK9&lt;&gt;"",ISNUMBER(AK9)))),"Hearing Issued",IF(AND(AG9&lt;&gt;"",ISNUMBER(AG9)),"FER Reply Filed",IF(AND(AND(AE9&lt;&gt;"",ISNUMBER(AE9)),NOT(AND(AG9&lt;&gt;"",ISNUMBER(AG9)))),"FER Received - Reply Not Filed",IF(AND(AB9&lt;&gt;"",ISNUMBER(AB9)),"Published",IF(AND(AND(X9&lt;&gt;"",ISNUMBER(X9)),AND(AA9&lt;&gt;"",ISNUMBER(AA9))),"F9 &amp; F18 Filed",IF(AND(NOT(AND(X9&lt;&gt;"",ISNUMBER(X9))),AND(AA9&lt;&gt;"",ISNUMBER(AA9))),"F9 Not Filed - F18 Filed",IF(AND(AND(X9&lt;&gt;"",ISNUMBER(X9)),NOT(AND(AA9&lt;&gt;"",ISNUMBER(AA9)))),"F9 Filed - F18 Not Filed",IF(AND(NOT(AND(L9&lt;&gt;"",ISNUMBER(L9))),AND(Q9&lt;&gt;"",ISNUMBER(Q9)),NOT(AND(X9&lt;&gt;"",ISNUMBER(X9))),NOT(AND(AA9&lt;&gt;"",ISNUMBER(AA9)))),"Direct CS Filed - F9 &amp; F18 Not Filed",IF(AND(AND(L9&lt;&gt;"",ISNUMBER(L9)),AND(Q9&lt;&gt;"",ISNUMBER(Q9)),NOT(AND(X9&lt;&gt;"",ISNUMBER(X9))),NOT(AND(AA9&lt;&gt;"",ISNUMBER(AA9)))),"PS-CS Filed - F9 &amp; F18 Not Filed",IF(AND(AND(L9&lt;&gt;"",ISNUMBER(L9)),NOT(AND(Q9&lt;&gt;"",ISNUMBER(Q9)))),"PS Filed - CS Not Filed","Not Started"))))))))))))))</f>
        <v>FER Received - Reply Not Filed</v>
      </c>
      <c r="BI9" s="23"/>
      <c r="BJ9" s="31"/>
      <c r="BK9" s="31"/>
    </row>
    <row r="10" spans="1:63" ht="249.75">
      <c r="A10" s="13" t="s">
        <v>97</v>
      </c>
      <c r="B10" s="24" t="s">
        <v>98</v>
      </c>
      <c r="C10" s="13" t="s">
        <v>96</v>
      </c>
      <c r="D10" s="13" t="s">
        <v>67</v>
      </c>
      <c r="E10" s="15" t="s">
        <v>248</v>
      </c>
      <c r="F10" s="13" t="s">
        <v>99</v>
      </c>
      <c r="G10" s="13" t="s">
        <v>100</v>
      </c>
      <c r="H10" s="13" t="s">
        <v>101</v>
      </c>
      <c r="I10" s="13" t="s">
        <v>102</v>
      </c>
      <c r="J10" s="13" t="s">
        <v>75</v>
      </c>
      <c r="K10" s="13">
        <v>202441053654</v>
      </c>
      <c r="L10" s="25">
        <v>45488</v>
      </c>
      <c r="M10" s="26"/>
      <c r="N10" s="26"/>
      <c r="O10" s="18" t="str">
        <f t="shared" si="0"/>
        <v>Not yet Postdated</v>
      </c>
      <c r="P10" s="18">
        <f t="shared" si="1"/>
        <v>45853</v>
      </c>
      <c r="Q10" s="25">
        <v>45492</v>
      </c>
      <c r="R10" s="26"/>
      <c r="S10" s="17">
        <f t="shared" si="2"/>
        <v>45672</v>
      </c>
      <c r="T10" s="25">
        <v>45649</v>
      </c>
      <c r="U10" s="17">
        <f t="shared" si="3"/>
        <v>45580</v>
      </c>
      <c r="V10" s="27">
        <v>45632</v>
      </c>
      <c r="W10" s="13" t="s">
        <v>107</v>
      </c>
      <c r="X10" s="27">
        <v>45582</v>
      </c>
      <c r="Y10" s="27"/>
      <c r="Z10" s="28"/>
      <c r="AA10" s="27">
        <v>45582</v>
      </c>
      <c r="AB10" s="27">
        <v>45583</v>
      </c>
      <c r="AC10" s="18" t="e">
        <f t="shared" si="7"/>
        <v>#VALUE!</v>
      </c>
      <c r="AD10" s="19" t="str">
        <f t="shared" si="4"/>
        <v>42/2024</v>
      </c>
      <c r="AE10" s="17">
        <v>46217</v>
      </c>
      <c r="AF10" s="18">
        <f t="shared" si="5"/>
        <v>46401</v>
      </c>
      <c r="AG10" s="19" t="s">
        <v>75</v>
      </c>
      <c r="AH10" s="17">
        <v>46262</v>
      </c>
      <c r="AI10" s="18">
        <f t="shared" si="6"/>
        <v>46309</v>
      </c>
      <c r="AJ10" s="17" t="s">
        <v>75</v>
      </c>
      <c r="AK10" s="17" t="s">
        <v>75</v>
      </c>
      <c r="AL10" s="17"/>
      <c r="AM10" s="17" t="s">
        <v>75</v>
      </c>
      <c r="AN10" s="17" t="s">
        <v>75</v>
      </c>
      <c r="AO10" s="17"/>
      <c r="AP10" s="17" t="s">
        <v>75</v>
      </c>
      <c r="AQ10" s="17" t="s">
        <v>75</v>
      </c>
      <c r="AR10" s="17" t="s">
        <v>75</v>
      </c>
      <c r="AS10" s="13" t="str">
        <f ca="1">IF(OR(S10=0, S10=""), "No F1 deadline to compare", IF(T10&gt;0, IF(T10&gt;S10, "Filed after " &amp; (T10-S10) &amp; " days of deadline", "Filed within deadline"), IF(TODAY()&gt;S10, "Delayed by " &amp; (TODAY()-S10) &amp; " days", (S10-TODAY()) &amp; " days left")))</f>
        <v>Filed within deadline</v>
      </c>
      <c r="AT10" s="21" t="str">
        <f ca="1">IF(OR(TRIM(U10)="", U10=0), "No F26 deadline to compare", IF(AND(TRIM(V10)&lt;&gt;"", ISNUMBER(V10)), IF(V10&gt;U10, "Filed after " &amp; (V10-U10) &amp; " days of deadline", "Filed within deadline"), IF(TODAY()&gt;U10, "Delayed by " &amp; (TODAY()-U10) &amp; " days", (U10-TODAY()) &amp; " days left")))</f>
        <v>Filed after 52 days of deadline</v>
      </c>
      <c r="AU10" s="22"/>
      <c r="AV10" s="22"/>
      <c r="AW10" s="22"/>
      <c r="AX10" s="21"/>
      <c r="AY10" s="22"/>
      <c r="AZ10" s="22"/>
      <c r="BA10" s="22"/>
      <c r="BB10" s="21"/>
      <c r="BC10" s="21"/>
      <c r="BD10" s="21"/>
      <c r="BE10" s="21"/>
      <c r="BF10" s="21"/>
      <c r="BG10" s="21"/>
      <c r="BH10" s="13" t="str">
        <f>IF(AND(AP10&lt;&gt;"",ISNUMBER(AP10)),"Patent Refused",IF(AND(AN10&lt;&gt;"",ISNUMBER(AN10)),"Patent Granted",IF(AND(AM10&lt;&gt;"",ISNUMBER(AM10)),"WS Filed",IF(AND(AND(AK10&lt;&gt;"",ISNUMBER(AK10)),NOT(AND(AM10&lt;&gt;"",ISNUMBER(AM10)))),"Hearing Attended - WS Not Filed",IF(AND(AND(AJ10&lt;&gt;"",ISNUMBER(AJ10)),NOT(AND(AK10&lt;&gt;"",ISNUMBER(AK10)))),"Hearing Issued",IF(AND(AG10&lt;&gt;"",ISNUMBER(AG10)),"FER Reply Filed",IF(AND(AND(AE10&lt;&gt;"",ISNUMBER(AE10)),NOT(AND(AG10&lt;&gt;"",ISNUMBER(AG10)))),"FER Received - Reply Not Filed",IF(AND(AB10&lt;&gt;"",ISNUMBER(AB10)),"Published",IF(AND(AND(X10&lt;&gt;"",ISNUMBER(X10)),AND(AA10&lt;&gt;"",ISNUMBER(AA10))),"F9 &amp; F18 Filed",IF(AND(NOT(AND(X10&lt;&gt;"",ISNUMBER(X10))),AND(AA10&lt;&gt;"",ISNUMBER(AA10))),"F9 Not Filed - F18 Filed",IF(AND(AND(X10&lt;&gt;"",ISNUMBER(X10)),NOT(AND(AA10&lt;&gt;"",ISNUMBER(AA10)))),"F9 Filed - F18 Not Filed",IF(AND(NOT(AND(L10&lt;&gt;"",ISNUMBER(L10))),AND(Q10&lt;&gt;"",ISNUMBER(Q10)),NOT(AND(X10&lt;&gt;"",ISNUMBER(X10))),NOT(AND(AA10&lt;&gt;"",ISNUMBER(AA10)))),"Direct CS Filed - F9 &amp; F18 Not Filed",IF(AND(AND(L10&lt;&gt;"",ISNUMBER(L10)),AND(Q10&lt;&gt;"",ISNUMBER(Q10)),NOT(AND(X10&lt;&gt;"",ISNUMBER(X10))),NOT(AND(AA10&lt;&gt;"",ISNUMBER(AA10)))),"PS-CS Filed - F9 &amp; F18 Not Filed",IF(AND(AND(L10&lt;&gt;"",ISNUMBER(L10)),NOT(AND(Q10&lt;&gt;"",ISNUMBER(Q10)))),"PS Filed - CS Not Filed","Not Started"))))))))))))))</f>
        <v>FER Received - Reply Not Filed</v>
      </c>
      <c r="BI10" s="23"/>
      <c r="BJ10" s="31"/>
      <c r="BK10" s="31"/>
    </row>
    <row r="11" spans="1:63" ht="277.5">
      <c r="A11" s="13" t="s">
        <v>109</v>
      </c>
      <c r="B11" s="29" t="s">
        <v>110</v>
      </c>
      <c r="C11" s="13" t="s">
        <v>96</v>
      </c>
      <c r="D11" s="13" t="s">
        <v>67</v>
      </c>
      <c r="E11" s="15" t="s">
        <v>271</v>
      </c>
      <c r="F11" s="13" t="s">
        <v>112</v>
      </c>
      <c r="G11" s="13" t="s">
        <v>114</v>
      </c>
      <c r="H11" s="13" t="s">
        <v>115</v>
      </c>
      <c r="I11" s="13" t="s">
        <v>116</v>
      </c>
      <c r="J11" s="13" t="s">
        <v>75</v>
      </c>
      <c r="K11" s="13">
        <v>202441029351</v>
      </c>
      <c r="L11" s="17">
        <v>45393</v>
      </c>
      <c r="M11" s="18"/>
      <c r="N11" s="18"/>
      <c r="O11" s="18" t="str">
        <f t="shared" si="0"/>
        <v>Not yet Postdated</v>
      </c>
      <c r="P11" s="18">
        <f t="shared" si="1"/>
        <v>45758</v>
      </c>
      <c r="Q11" s="17">
        <v>45548</v>
      </c>
      <c r="R11" s="18"/>
      <c r="S11" s="17">
        <f t="shared" si="2"/>
        <v>45576</v>
      </c>
      <c r="T11" s="17">
        <v>45467</v>
      </c>
      <c r="U11" s="17">
        <f t="shared" si="3"/>
        <v>45484</v>
      </c>
      <c r="V11" s="17">
        <v>45465</v>
      </c>
      <c r="W11" s="13" t="s">
        <v>89</v>
      </c>
      <c r="X11" s="17">
        <v>45582</v>
      </c>
      <c r="Y11" s="17"/>
      <c r="Z11" s="18"/>
      <c r="AA11" s="17">
        <v>45582</v>
      </c>
      <c r="AB11" s="17">
        <v>45583</v>
      </c>
      <c r="AC11" s="18" t="e">
        <f t="shared" si="7"/>
        <v>#VALUE!</v>
      </c>
      <c r="AD11" s="19" t="str">
        <f t="shared" si="4"/>
        <v>42/2024</v>
      </c>
      <c r="AE11" s="17">
        <v>46246</v>
      </c>
      <c r="AF11" s="18">
        <f t="shared" si="5"/>
        <v>46430</v>
      </c>
      <c r="AG11" s="19" t="s">
        <v>75</v>
      </c>
      <c r="AH11" s="17">
        <v>46258</v>
      </c>
      <c r="AI11" s="18">
        <f t="shared" si="6"/>
        <v>46338</v>
      </c>
      <c r="AJ11" s="17" t="s">
        <v>75</v>
      </c>
      <c r="AK11" s="17" t="s">
        <v>75</v>
      </c>
      <c r="AL11" s="17"/>
      <c r="AM11" s="17" t="s">
        <v>75</v>
      </c>
      <c r="AN11" s="17" t="s">
        <v>75</v>
      </c>
      <c r="AO11" s="17"/>
      <c r="AP11" s="17" t="s">
        <v>75</v>
      </c>
      <c r="AQ11" s="17" t="s">
        <v>75</v>
      </c>
      <c r="AR11" s="17" t="s">
        <v>75</v>
      </c>
      <c r="AS11" s="13" t="str">
        <f ca="1">IF(OR(S11=0, S11=""), "No F1 deadline to compare", IF(T11&gt;0, IF(T11&gt;S11, "Filed after " &amp; (T11-S11) &amp; " days of deadline", "Filed within deadline"), IF(TODAY()&gt;S11, "Delayed by " &amp; (TODAY()-S11) &amp; " days", (S11-TODAY()) &amp; " days left")))</f>
        <v>Filed within deadline</v>
      </c>
      <c r="AT11" s="21" t="str">
        <f ca="1">IF(OR(TRIM(U11)="", U11=0), "No F26 deadline to compare", IF(AND(TRIM(V11)&lt;&gt;"", ISNUMBER(V11)), IF(V11&gt;U11, "Filed after " &amp; (V11-U11) &amp; " days of deadline", "Filed within deadline"), IF(TODAY()&gt;U11, "Delayed by " &amp; (TODAY()-U11) &amp; " days", (U11-TODAY()) &amp; " days left")))</f>
        <v>Filed within deadline</v>
      </c>
      <c r="AU11" s="22"/>
      <c r="AV11" s="22"/>
      <c r="AW11" s="22"/>
      <c r="AX11" s="21"/>
      <c r="AY11" s="22"/>
      <c r="AZ11" s="22"/>
      <c r="BA11" s="22"/>
      <c r="BB11" s="21"/>
      <c r="BC11" s="21"/>
      <c r="BD11" s="21"/>
      <c r="BE11" s="21"/>
      <c r="BF11" s="21"/>
      <c r="BG11" s="21"/>
      <c r="BH11" s="13" t="str">
        <f>IF(AND(AP11&lt;&gt;"",ISNUMBER(AP11)),"Patent Refused",IF(AND(AN11&lt;&gt;"",ISNUMBER(AN11)),"Patent Granted",IF(AND(AM11&lt;&gt;"",ISNUMBER(AM11)),"WS Filed",IF(AND(AND(AK11&lt;&gt;"",ISNUMBER(AK11)),NOT(AND(AM11&lt;&gt;"",ISNUMBER(AM11)))),"Hearing Attended - WS Not Filed",IF(AND(AND(AJ11&lt;&gt;"",ISNUMBER(AJ11)),NOT(AND(AK11&lt;&gt;"",ISNUMBER(AK11)))),"Hearing Issued",IF(AND(AG11&lt;&gt;"",ISNUMBER(AG11)),"FER Reply Filed",IF(AND(AND(AE11&lt;&gt;"",ISNUMBER(AE11)),NOT(AND(AG11&lt;&gt;"",ISNUMBER(AG11)))),"FER Received - Reply Not Filed",IF(AND(AB11&lt;&gt;"",ISNUMBER(AB11)),"Published",IF(AND(AND(X11&lt;&gt;"",ISNUMBER(X11)),AND(AA11&lt;&gt;"",ISNUMBER(AA11))),"F9 &amp; F18 Filed",IF(AND(NOT(AND(X11&lt;&gt;"",ISNUMBER(X11))),AND(AA11&lt;&gt;"",ISNUMBER(AA11))),"F9 Not Filed - F18 Filed",IF(AND(AND(X11&lt;&gt;"",ISNUMBER(X11)),NOT(AND(AA11&lt;&gt;"",ISNUMBER(AA11)))),"F9 Filed - F18 Not Filed",IF(AND(NOT(AND(L11&lt;&gt;"",ISNUMBER(L11))),AND(Q11&lt;&gt;"",ISNUMBER(Q11)),NOT(AND(X11&lt;&gt;"",ISNUMBER(X11))),NOT(AND(AA11&lt;&gt;"",ISNUMBER(AA11)))),"Direct CS Filed - F9 &amp; F18 Not Filed",IF(AND(AND(L11&lt;&gt;"",ISNUMBER(L11)),AND(Q11&lt;&gt;"",ISNUMBER(Q11)),NOT(AND(X11&lt;&gt;"",ISNUMBER(X11))),NOT(AND(AA11&lt;&gt;"",ISNUMBER(AA11)))),"PS-CS Filed - F9 &amp; F18 Not Filed",IF(AND(AND(L11&lt;&gt;"",ISNUMBER(L11)),NOT(AND(Q11&lt;&gt;"",ISNUMBER(Q11)))),"PS Filed - CS Not Filed","Not Started"))))))))))))))</f>
        <v>FER Received - Reply Not Filed</v>
      </c>
      <c r="BI11" s="23"/>
      <c r="BJ11" s="31"/>
      <c r="BK11" s="31"/>
    </row>
    <row r="12" spans="1:63" ht="166.5">
      <c r="A12" s="13" t="s">
        <v>121</v>
      </c>
      <c r="B12" s="14" t="s">
        <v>122</v>
      </c>
      <c r="C12" s="13" t="s">
        <v>96</v>
      </c>
      <c r="D12" s="13" t="s">
        <v>67</v>
      </c>
      <c r="E12" s="15" t="s">
        <v>278</v>
      </c>
      <c r="F12" s="13" t="s">
        <v>123</v>
      </c>
      <c r="G12" s="13" t="s">
        <v>124</v>
      </c>
      <c r="H12" s="13" t="s">
        <v>125</v>
      </c>
      <c r="I12" s="13" t="s">
        <v>126</v>
      </c>
      <c r="J12" s="13"/>
      <c r="K12" s="13">
        <v>202441029455</v>
      </c>
      <c r="L12" s="17">
        <v>45393</v>
      </c>
      <c r="M12" s="18"/>
      <c r="N12" s="18"/>
      <c r="O12" s="18" t="str">
        <f t="shared" si="0"/>
        <v>Not yet Postdated</v>
      </c>
      <c r="P12" s="18">
        <f t="shared" si="1"/>
        <v>45758</v>
      </c>
      <c r="Q12" s="17">
        <v>45546</v>
      </c>
      <c r="R12" s="18"/>
      <c r="S12" s="17">
        <f t="shared" si="2"/>
        <v>45576</v>
      </c>
      <c r="T12" s="17">
        <v>45467</v>
      </c>
      <c r="U12" s="17">
        <f t="shared" si="3"/>
        <v>45484</v>
      </c>
      <c r="V12" s="17">
        <v>45465</v>
      </c>
      <c r="W12" s="13" t="s">
        <v>89</v>
      </c>
      <c r="X12" s="17">
        <v>45582</v>
      </c>
      <c r="Y12" s="17"/>
      <c r="Z12" s="18"/>
      <c r="AA12" s="17">
        <v>45582</v>
      </c>
      <c r="AB12" s="17">
        <v>45583</v>
      </c>
      <c r="AC12" s="18" t="e">
        <f t="shared" si="7"/>
        <v>#VALUE!</v>
      </c>
      <c r="AD12" s="19" t="str">
        <f t="shared" si="4"/>
        <v>42/2024</v>
      </c>
      <c r="AE12" s="17" t="s">
        <v>75</v>
      </c>
      <c r="AF12" s="18" t="str">
        <f t="shared" si="5"/>
        <v>NA</v>
      </c>
      <c r="AG12" s="19" t="s">
        <v>75</v>
      </c>
      <c r="AH12" s="17"/>
      <c r="AI12" s="18" t="str">
        <f t="shared" si="6"/>
        <v>NA</v>
      </c>
      <c r="AJ12" s="17" t="s">
        <v>75</v>
      </c>
      <c r="AK12" s="17" t="s">
        <v>75</v>
      </c>
      <c r="AL12" s="17"/>
      <c r="AM12" s="17" t="s">
        <v>75</v>
      </c>
      <c r="AN12" s="17" t="s">
        <v>75</v>
      </c>
      <c r="AO12" s="17"/>
      <c r="AP12" s="17" t="s">
        <v>75</v>
      </c>
      <c r="AQ12" s="17" t="s">
        <v>75</v>
      </c>
      <c r="AR12" s="17" t="s">
        <v>75</v>
      </c>
      <c r="AS12" s="13" t="str">
        <f ca="1">IF(OR(S12=0, S12=""), "No F1 deadline to compare", IF(T12&gt;0, IF(T12&gt;S12, "Filed after " &amp; (T12-S12) &amp; " days of deadline", "Filed within deadline"), IF(TODAY()&gt;S12, "Delayed by " &amp; (TODAY()-S12) &amp; " days", (S12-TODAY()) &amp; " days left")))</f>
        <v>Filed within deadline</v>
      </c>
      <c r="AT12" s="21" t="str">
        <f ca="1">IF(OR(TRIM(U12)="", U12=0), "No F26 deadline to compare", IF(AND(TRIM(V12)&lt;&gt;"", ISNUMBER(V12)), IF(V12&gt;U12, "Filed after " &amp; (V12-U12) &amp; " days of deadline", "Filed within deadline"), IF(TODAY()&gt;U12, "Delayed by " &amp; (TODAY()-U12) &amp; " days", (U12-TODAY()) &amp; " days left")))</f>
        <v>Filed within deadline</v>
      </c>
      <c r="AU12" s="22"/>
      <c r="AV12" s="22"/>
      <c r="AW12" s="22"/>
      <c r="AX12" s="21"/>
      <c r="AY12" s="22"/>
      <c r="AZ12" s="22"/>
      <c r="BA12" s="22"/>
      <c r="BB12" s="21"/>
      <c r="BC12" s="21"/>
      <c r="BD12" s="21"/>
      <c r="BE12" s="21"/>
      <c r="BF12" s="21"/>
      <c r="BG12" s="21"/>
      <c r="BH12" s="13" t="str">
        <f>IF(AND(AP12&lt;&gt;"",ISNUMBER(AP12)),"Patent Refused",IF(AND(AN12&lt;&gt;"",ISNUMBER(AN12)),"Patent Granted",IF(AND(AM12&lt;&gt;"",ISNUMBER(AM12)),"WS Filed",IF(AND(AND(AK12&lt;&gt;"",ISNUMBER(AK12)),NOT(AND(AM12&lt;&gt;"",ISNUMBER(AM12)))),"Hearing Attended - WS Not Filed",IF(AND(AND(AJ12&lt;&gt;"",ISNUMBER(AJ12)),NOT(AND(AK12&lt;&gt;"",ISNUMBER(AK12)))),"Hearing Issued",IF(AND(AG12&lt;&gt;"",ISNUMBER(AG12)),"FER Reply Filed",IF(AND(AND(AE12&lt;&gt;"",ISNUMBER(AE12)),NOT(AND(AG12&lt;&gt;"",ISNUMBER(AG12)))),"FER Received - Reply Not Filed",IF(AND(AB12&lt;&gt;"",ISNUMBER(AB12)),"Published",IF(AND(AND(X12&lt;&gt;"",ISNUMBER(X12)),AND(AA12&lt;&gt;"",ISNUMBER(AA12))),"F9 &amp; F18 Filed",IF(AND(NOT(AND(X12&lt;&gt;"",ISNUMBER(X12))),AND(AA12&lt;&gt;"",ISNUMBER(AA12))),"F9 Not Filed - F18 Filed",IF(AND(AND(X12&lt;&gt;"",ISNUMBER(X12)),NOT(AND(AA12&lt;&gt;"",ISNUMBER(AA12)))),"F9 Filed - F18 Not Filed",IF(AND(NOT(AND(L12&lt;&gt;"",ISNUMBER(L12))),AND(Q12&lt;&gt;"",ISNUMBER(Q12)),NOT(AND(X12&lt;&gt;"",ISNUMBER(X12))),NOT(AND(AA12&lt;&gt;"",ISNUMBER(AA12)))),"Direct CS Filed - F9 &amp; F18 Not Filed",IF(AND(AND(L12&lt;&gt;"",ISNUMBER(L12)),AND(Q12&lt;&gt;"",ISNUMBER(Q12)),NOT(AND(X12&lt;&gt;"",ISNUMBER(X12))),NOT(AND(AA12&lt;&gt;"",ISNUMBER(AA12)))),"PS-CS Filed - F9 &amp; F18 Not Filed",IF(AND(AND(L12&lt;&gt;"",ISNUMBER(L12)),NOT(AND(Q12&lt;&gt;"",ISNUMBER(Q12)))),"PS Filed - CS Not Filed","Not Started"))))))))))))))</f>
        <v>Published</v>
      </c>
      <c r="BI12" s="23"/>
      <c r="BJ12" s="31"/>
      <c r="BK12" s="31"/>
    </row>
    <row r="13" spans="1:63" ht="138.75">
      <c r="A13" s="13" t="s">
        <v>111</v>
      </c>
      <c r="B13" s="14" t="s">
        <v>113</v>
      </c>
      <c r="C13" s="13" t="s">
        <v>65</v>
      </c>
      <c r="D13" s="13" t="s">
        <v>67</v>
      </c>
      <c r="E13" s="15" t="s">
        <v>279</v>
      </c>
      <c r="F13" s="13" t="s">
        <v>117</v>
      </c>
      <c r="G13" s="13" t="s">
        <v>118</v>
      </c>
      <c r="H13" s="13" t="s">
        <v>119</v>
      </c>
      <c r="I13" s="13" t="s">
        <v>120</v>
      </c>
      <c r="J13" s="13" t="s">
        <v>75</v>
      </c>
      <c r="K13" s="13">
        <v>202441041878</v>
      </c>
      <c r="L13" s="17"/>
      <c r="M13" s="18"/>
      <c r="N13" s="18"/>
      <c r="O13" s="18" t="str">
        <f t="shared" si="0"/>
        <v>PS Not yet filed</v>
      </c>
      <c r="P13" s="18" t="str">
        <f t="shared" si="1"/>
        <v/>
      </c>
      <c r="Q13" s="27">
        <v>45442</v>
      </c>
      <c r="R13" s="28"/>
      <c r="S13" s="17">
        <f t="shared" si="2"/>
        <v>45626</v>
      </c>
      <c r="T13" s="17">
        <v>45442</v>
      </c>
      <c r="U13" s="17">
        <f t="shared" si="3"/>
        <v>45534</v>
      </c>
      <c r="V13" s="17">
        <v>45465</v>
      </c>
      <c r="W13" s="13" t="s">
        <v>108</v>
      </c>
      <c r="X13" s="25">
        <v>45461</v>
      </c>
      <c r="Y13" s="27"/>
      <c r="Z13" s="28"/>
      <c r="AA13" s="27">
        <v>45461</v>
      </c>
      <c r="AB13" s="27">
        <v>45464</v>
      </c>
      <c r="AC13" s="18" t="e">
        <f t="shared" si="7"/>
        <v>#VALUE!</v>
      </c>
      <c r="AD13" s="19" t="str">
        <f t="shared" si="4"/>
        <v>25/2024</v>
      </c>
      <c r="AE13" s="17" t="s">
        <v>75</v>
      </c>
      <c r="AF13" s="18" t="str">
        <f t="shared" si="5"/>
        <v>NA</v>
      </c>
      <c r="AG13" s="19" t="s">
        <v>75</v>
      </c>
      <c r="AH13" s="17"/>
      <c r="AI13" s="18" t="str">
        <f t="shared" si="6"/>
        <v>NA</v>
      </c>
      <c r="AJ13" s="17" t="s">
        <v>75</v>
      </c>
      <c r="AK13" s="17" t="s">
        <v>75</v>
      </c>
      <c r="AL13" s="17"/>
      <c r="AM13" s="17" t="s">
        <v>75</v>
      </c>
      <c r="AN13" s="17" t="s">
        <v>75</v>
      </c>
      <c r="AO13" s="17"/>
      <c r="AP13" s="17" t="s">
        <v>75</v>
      </c>
      <c r="AQ13" s="17" t="s">
        <v>75</v>
      </c>
      <c r="AR13" s="17" t="s">
        <v>75</v>
      </c>
      <c r="AS13" s="13" t="str">
        <f ca="1">IF(OR(S13=0, S13=""), "No F1 deadline to compare", IF(T13&gt;0, IF(T13&gt;S13, "Filed after " &amp; (T13-S13) &amp; " days of deadline", "Filed within deadline"), IF(TODAY()&gt;S13, "Delayed by " &amp; (TODAY()-S13) &amp; " days", (S13-TODAY()) &amp; " days left")))</f>
        <v>Filed within deadline</v>
      </c>
      <c r="AT13" s="21" t="str">
        <f ca="1">IF(OR(TRIM(U13)="", U13=0), "No F26 deadline to compare", IF(AND(TRIM(V13)&lt;&gt;"", ISNUMBER(V13)), IF(V13&gt;U13, "Filed after " &amp; (V13-U13) &amp; " days of deadline", "Filed within deadline"), IF(TODAY()&gt;U13, "Delayed by " &amp; (TODAY()-U13) &amp; " days", (U13-TODAY()) &amp; " days left")))</f>
        <v>Filed within deadline</v>
      </c>
      <c r="AU13" s="22"/>
      <c r="AV13" s="22"/>
      <c r="AW13" s="22"/>
      <c r="AX13" s="21"/>
      <c r="AY13" s="22"/>
      <c r="AZ13" s="22"/>
      <c r="BA13" s="22"/>
      <c r="BB13" s="21"/>
      <c r="BC13" s="21"/>
      <c r="BD13" s="21"/>
      <c r="BE13" s="21"/>
      <c r="BF13" s="21"/>
      <c r="BG13" s="21"/>
      <c r="BH13" s="13" t="str">
        <f>IF(AND(AP13&lt;&gt;"",ISNUMBER(AP13)),"Patent Refused",IF(AND(AN13&lt;&gt;"",ISNUMBER(AN13)),"Patent Granted",IF(AND(AM13&lt;&gt;"",ISNUMBER(AM13)),"WS Filed",IF(AND(AND(AK13&lt;&gt;"",ISNUMBER(AK13)),NOT(AND(AM13&lt;&gt;"",ISNUMBER(AM13)))),"Hearing Attended - WS Not Filed",IF(AND(AND(AJ13&lt;&gt;"",ISNUMBER(AJ13)),NOT(AND(AK13&lt;&gt;"",ISNUMBER(AK13)))),"Hearing Issued",IF(AND(AG13&lt;&gt;"",ISNUMBER(AG13)),"FER Reply Filed",IF(AND(AND(AE13&lt;&gt;"",ISNUMBER(AE13)),NOT(AND(AG13&lt;&gt;"",ISNUMBER(AG13)))),"FER Received - Reply Not Filed",IF(AND(AB13&lt;&gt;"",ISNUMBER(AB13)),"Published",IF(AND(AND(X13&lt;&gt;"",ISNUMBER(X13)),AND(AA13&lt;&gt;"",ISNUMBER(AA13))),"F9 &amp; F18 Filed",IF(AND(NOT(AND(X13&lt;&gt;"",ISNUMBER(X13))),AND(AA13&lt;&gt;"",ISNUMBER(AA13))),"F9 Not Filed - F18 Filed",IF(AND(AND(X13&lt;&gt;"",ISNUMBER(X13)),NOT(AND(AA13&lt;&gt;"",ISNUMBER(AA13)))),"F9 Filed - F18 Not Filed",IF(AND(NOT(AND(L13&lt;&gt;"",ISNUMBER(L13))),AND(Q13&lt;&gt;"",ISNUMBER(Q13)),NOT(AND(X13&lt;&gt;"",ISNUMBER(X13))),NOT(AND(AA13&lt;&gt;"",ISNUMBER(AA13)))),"Direct CS Filed - F9 &amp; F18 Not Filed",IF(AND(AND(L13&lt;&gt;"",ISNUMBER(L13)),AND(Q13&lt;&gt;"",ISNUMBER(Q13)),NOT(AND(X13&lt;&gt;"",ISNUMBER(X13))),NOT(AND(AA13&lt;&gt;"",ISNUMBER(AA13)))),"PS-CS Filed - F9 &amp; F18 Not Filed",IF(AND(AND(L13&lt;&gt;"",ISNUMBER(L13)),NOT(AND(Q13&lt;&gt;"",ISNUMBER(Q13)))),"PS Filed - CS Not Filed","Not Started"))))))))))))))</f>
        <v>Published</v>
      </c>
      <c r="BI13" s="23"/>
      <c r="BJ13" s="31"/>
      <c r="BK13" s="31"/>
    </row>
    <row r="14" spans="1:63" ht="409.5">
      <c r="A14" s="13" t="s">
        <v>127</v>
      </c>
      <c r="B14" s="14" t="s">
        <v>128</v>
      </c>
      <c r="C14" s="30" t="s">
        <v>129</v>
      </c>
      <c r="D14" s="13" t="s">
        <v>67</v>
      </c>
      <c r="E14" s="15" t="s">
        <v>284</v>
      </c>
      <c r="F14" s="13" t="s">
        <v>130</v>
      </c>
      <c r="G14" s="13" t="s">
        <v>131</v>
      </c>
      <c r="H14" s="13" t="s">
        <v>132</v>
      </c>
      <c r="I14" s="13"/>
      <c r="J14" s="13"/>
      <c r="K14" s="13">
        <v>202441041877</v>
      </c>
      <c r="L14" s="17"/>
      <c r="M14" s="18"/>
      <c r="N14" s="18"/>
      <c r="O14" s="18" t="str">
        <f t="shared" si="0"/>
        <v>PS Not yet filed</v>
      </c>
      <c r="P14" s="18" t="str">
        <f t="shared" si="1"/>
        <v/>
      </c>
      <c r="Q14" s="17">
        <v>45442</v>
      </c>
      <c r="R14" s="18"/>
      <c r="S14" s="17">
        <f t="shared" si="2"/>
        <v>45626</v>
      </c>
      <c r="T14" s="17">
        <v>45442</v>
      </c>
      <c r="U14" s="17">
        <f t="shared" si="3"/>
        <v>45534</v>
      </c>
      <c r="V14" s="25">
        <v>45465</v>
      </c>
      <c r="W14" s="13" t="s">
        <v>107</v>
      </c>
      <c r="X14" s="25">
        <v>45461</v>
      </c>
      <c r="Y14" s="25"/>
      <c r="Z14" s="26"/>
      <c r="AA14" s="25">
        <v>45461</v>
      </c>
      <c r="AB14" s="27">
        <v>45464</v>
      </c>
      <c r="AC14" s="18" t="e">
        <f t="shared" si="7"/>
        <v>#VALUE!</v>
      </c>
      <c r="AD14" s="19" t="str">
        <f t="shared" si="4"/>
        <v>25/2024</v>
      </c>
      <c r="AE14" s="17">
        <v>46106</v>
      </c>
      <c r="AF14" s="18">
        <f t="shared" si="5"/>
        <v>46290</v>
      </c>
      <c r="AG14" s="19" t="s">
        <v>285</v>
      </c>
      <c r="AH14" s="17">
        <v>46108</v>
      </c>
      <c r="AI14" s="18">
        <f t="shared" si="6"/>
        <v>46198</v>
      </c>
      <c r="AJ14" s="17" t="s">
        <v>75</v>
      </c>
      <c r="AK14" s="17" t="s">
        <v>75</v>
      </c>
      <c r="AL14" s="17"/>
      <c r="AM14" s="17" t="s">
        <v>75</v>
      </c>
      <c r="AN14" s="17" t="s">
        <v>75</v>
      </c>
      <c r="AO14" s="17"/>
      <c r="AP14" s="17" t="s">
        <v>75</v>
      </c>
      <c r="AQ14" s="17" t="s">
        <v>75</v>
      </c>
      <c r="AR14" s="17" t="s">
        <v>75</v>
      </c>
      <c r="AS14" s="13" t="str">
        <f ca="1">IF(OR(S14=0, S14=""), "No F1 deadline to compare", IF(T14&gt;0, IF(T14&gt;S14, "Filed after " &amp; (T14-S14) &amp; " days of deadline", "Filed within deadline"), IF(TODAY()&gt;S14, "Delayed by " &amp; (TODAY()-S14) &amp; " days", (S14-TODAY()) &amp; " days left")))</f>
        <v>Filed within deadline</v>
      </c>
      <c r="AT14" s="21" t="str">
        <f ca="1">IF(OR(TRIM(U14)="", U14=0), "No F26 deadline to compare", IF(AND(TRIM(V14)&lt;&gt;"", ISNUMBER(V14)), IF(V14&gt;U14, "Filed after " &amp; (V14-U14) &amp; " days of deadline", "Filed within deadline"), IF(TODAY()&gt;U14, "Delayed by " &amp; (TODAY()-U14) &amp; " days", (U14-TODAY()) &amp; " days left")))</f>
        <v>Filed within deadline</v>
      </c>
      <c r="AU14" s="22"/>
      <c r="AV14" s="22"/>
      <c r="AW14" s="22"/>
      <c r="AX14" s="21"/>
      <c r="AY14" s="22"/>
      <c r="AZ14" s="22"/>
      <c r="BA14" s="22"/>
      <c r="BB14" s="21"/>
      <c r="BC14" s="21"/>
      <c r="BD14" s="21"/>
      <c r="BE14" s="21"/>
      <c r="BF14" s="21"/>
      <c r="BG14" s="21"/>
      <c r="BH14" s="13" t="str">
        <f>IF(AND(AP14&lt;&gt;"",ISNUMBER(AP14)),"Patent Refused",IF(AND(AN14&lt;&gt;"",ISNUMBER(AN14)),"Patent Granted",IF(AND(AM14&lt;&gt;"",ISNUMBER(AM14)),"WS Filed",IF(AND(AND(AK14&lt;&gt;"",ISNUMBER(AK14)),NOT(AND(AM14&lt;&gt;"",ISNUMBER(AM14)))),"Hearing Attended - WS Not Filed",IF(AND(AND(AJ14&lt;&gt;"",ISNUMBER(AJ14)),NOT(AND(AK14&lt;&gt;"",ISNUMBER(AK14)))),"Hearing Issued",IF(AND(AG14&lt;&gt;"",ISNUMBER(AG14)),"FER Reply Filed",IF(AND(AND(AE14&lt;&gt;"",ISNUMBER(AE14)),NOT(AND(AG14&lt;&gt;"",ISNUMBER(AG14)))),"FER Received - Reply Not Filed",IF(AND(AB14&lt;&gt;"",ISNUMBER(AB14)),"Published",IF(AND(AND(X14&lt;&gt;"",ISNUMBER(X14)),AND(AA14&lt;&gt;"",ISNUMBER(AA14))),"F9 &amp; F18 Filed",IF(AND(NOT(AND(X14&lt;&gt;"",ISNUMBER(X14))),AND(AA14&lt;&gt;"",ISNUMBER(AA14))),"F9 Not Filed - F18 Filed",IF(AND(AND(X14&lt;&gt;"",ISNUMBER(X14)),NOT(AND(AA14&lt;&gt;"",ISNUMBER(AA14)))),"F9 Filed - F18 Not Filed",IF(AND(NOT(AND(L14&lt;&gt;"",ISNUMBER(L14))),AND(Q14&lt;&gt;"",ISNUMBER(Q14)),NOT(AND(X14&lt;&gt;"",ISNUMBER(X14))),NOT(AND(AA14&lt;&gt;"",ISNUMBER(AA14)))),"Direct CS Filed - F9 &amp; F18 Not Filed",IF(AND(AND(L14&lt;&gt;"",ISNUMBER(L14)),AND(Q14&lt;&gt;"",ISNUMBER(Q14)),NOT(AND(X14&lt;&gt;"",ISNUMBER(X14))),NOT(AND(AA14&lt;&gt;"",ISNUMBER(AA14)))),"PS-CS Filed - F9 &amp; F18 Not Filed",IF(AND(AND(L14&lt;&gt;"",ISNUMBER(L14)),NOT(AND(Q14&lt;&gt;"",ISNUMBER(Q14)))),"PS Filed - CS Not Filed","Not Started"))))))))))))))</f>
        <v>FER Received - Reply Not Filed</v>
      </c>
      <c r="BI14" s="23"/>
      <c r="BJ14" s="31"/>
      <c r="BK14" s="31"/>
    </row>
    <row r="15" spans="1:63" ht="111">
      <c r="A15" s="13" t="s">
        <v>133</v>
      </c>
      <c r="B15" s="14" t="s">
        <v>134</v>
      </c>
      <c r="C15" s="13" t="s">
        <v>129</v>
      </c>
      <c r="D15" s="13" t="s">
        <v>67</v>
      </c>
      <c r="E15" s="15" t="s">
        <v>292</v>
      </c>
      <c r="F15" s="13" t="s">
        <v>135</v>
      </c>
      <c r="G15" s="13" t="s">
        <v>136</v>
      </c>
      <c r="H15" s="13" t="s">
        <v>137</v>
      </c>
      <c r="I15" s="13" t="s">
        <v>138</v>
      </c>
      <c r="J15" s="32">
        <v>9845399435</v>
      </c>
      <c r="K15" s="13">
        <v>202441046424</v>
      </c>
      <c r="L15" s="25">
        <v>45459</v>
      </c>
      <c r="M15" s="26"/>
      <c r="N15" s="26"/>
      <c r="O15" s="18" t="str">
        <f t="shared" si="0"/>
        <v>Not yet Postdated</v>
      </c>
      <c r="P15" s="18">
        <f t="shared" si="1"/>
        <v>45824</v>
      </c>
      <c r="Q15" s="27">
        <v>45811</v>
      </c>
      <c r="R15" s="28"/>
      <c r="S15" s="17">
        <f t="shared" si="2"/>
        <v>45642</v>
      </c>
      <c r="T15" s="27">
        <v>45459</v>
      </c>
      <c r="U15" s="17">
        <f t="shared" si="3"/>
        <v>45551</v>
      </c>
      <c r="V15" s="27">
        <v>45465</v>
      </c>
      <c r="W15" s="13" t="s">
        <v>88</v>
      </c>
      <c r="X15" s="25">
        <v>45843</v>
      </c>
      <c r="Y15" s="17"/>
      <c r="Z15" s="18"/>
      <c r="AA15" s="17">
        <v>46214</v>
      </c>
      <c r="AB15" s="27">
        <v>45849</v>
      </c>
      <c r="AC15" s="18" t="e">
        <f t="shared" si="7"/>
        <v>#VALUE!</v>
      </c>
      <c r="AD15" s="19" t="str">
        <f t="shared" si="4"/>
        <v>28/2025</v>
      </c>
      <c r="AE15" s="17" t="s">
        <v>75</v>
      </c>
      <c r="AF15" s="18" t="str">
        <f t="shared" si="5"/>
        <v>NA</v>
      </c>
      <c r="AG15" s="19" t="s">
        <v>75</v>
      </c>
      <c r="AH15" s="17"/>
      <c r="AI15" s="18" t="str">
        <f t="shared" si="6"/>
        <v>NA</v>
      </c>
      <c r="AJ15" s="17" t="s">
        <v>75</v>
      </c>
      <c r="AK15" s="17" t="s">
        <v>75</v>
      </c>
      <c r="AL15" s="17"/>
      <c r="AM15" s="17" t="s">
        <v>75</v>
      </c>
      <c r="AN15" s="17" t="s">
        <v>75</v>
      </c>
      <c r="AO15" s="17"/>
      <c r="AP15" s="17" t="s">
        <v>75</v>
      </c>
      <c r="AQ15" s="17" t="s">
        <v>75</v>
      </c>
      <c r="AR15" s="17" t="s">
        <v>75</v>
      </c>
      <c r="AS15" s="13" t="str">
        <f ca="1">IF(OR(S15=0, S15=""), "No F1 deadline to compare", IF(T15&gt;0, IF(T15&gt;S15, "Filed after " &amp; (T15-S15) &amp; " days of deadline", "Filed within deadline"), IF(TODAY()&gt;S15, "Delayed by " &amp; (TODAY()-S15) &amp; " days", (S15-TODAY()) &amp; " days left")))</f>
        <v>Filed within deadline</v>
      </c>
      <c r="AT15" s="21" t="str">
        <f ca="1">IF(OR(TRIM(U15)="", U15=0), "No F26 deadline to compare", IF(AND(TRIM(V15)&lt;&gt;"", ISNUMBER(V15)), IF(V15&gt;U15, "Filed after " &amp; (V15-U15) &amp; " days of deadline", "Filed within deadline"), IF(TODAY()&gt;U15, "Delayed by " &amp; (TODAY()-U15) &amp; " days", (U15-TODAY()) &amp; " days left")))</f>
        <v>Filed within deadline</v>
      </c>
      <c r="AU15" s="22"/>
      <c r="AV15" s="22"/>
      <c r="AW15" s="22"/>
      <c r="AX15" s="21"/>
      <c r="AY15" s="22"/>
      <c r="AZ15" s="22"/>
      <c r="BA15" s="22"/>
      <c r="BB15" s="21"/>
      <c r="BC15" s="21"/>
      <c r="BD15" s="21"/>
      <c r="BE15" s="21"/>
      <c r="BF15" s="21"/>
      <c r="BG15" s="21"/>
      <c r="BH15" s="13" t="str">
        <f>IF(AND(AP15&lt;&gt;"",ISNUMBER(AP15)),"Patent Refused",IF(AND(AN15&lt;&gt;"",ISNUMBER(AN15)),"Patent Granted",IF(AND(AM15&lt;&gt;"",ISNUMBER(AM15)),"WS Filed",IF(AND(AND(AK15&lt;&gt;"",ISNUMBER(AK15)),NOT(AND(AM15&lt;&gt;"",ISNUMBER(AM15)))),"Hearing Attended - WS Not Filed",IF(AND(AND(AJ15&lt;&gt;"",ISNUMBER(AJ15)),NOT(AND(AK15&lt;&gt;"",ISNUMBER(AK15)))),"Hearing Issued",IF(AND(AG15&lt;&gt;"",ISNUMBER(AG15)),"FER Reply Filed",IF(AND(AND(AE15&lt;&gt;"",ISNUMBER(AE15)),NOT(AND(AG15&lt;&gt;"",ISNUMBER(AG15)))),"FER Received - Reply Not Filed",IF(AND(AB15&lt;&gt;"",ISNUMBER(AB15)),"Published",IF(AND(AND(X15&lt;&gt;"",ISNUMBER(X15)),AND(AA15&lt;&gt;"",ISNUMBER(AA15))),"F9 &amp; F18 Filed",IF(AND(NOT(AND(X15&lt;&gt;"",ISNUMBER(X15))),AND(AA15&lt;&gt;"",ISNUMBER(AA15))),"F9 Not Filed - F18 Filed",IF(AND(AND(X15&lt;&gt;"",ISNUMBER(X15)),NOT(AND(AA15&lt;&gt;"",ISNUMBER(AA15)))),"F9 Filed - F18 Not Filed",IF(AND(NOT(AND(L15&lt;&gt;"",ISNUMBER(L15))),AND(Q15&lt;&gt;"",ISNUMBER(Q15)),NOT(AND(X15&lt;&gt;"",ISNUMBER(X15))),NOT(AND(AA15&lt;&gt;"",ISNUMBER(AA15)))),"Direct CS Filed - F9 &amp; F18 Not Filed",IF(AND(AND(L15&lt;&gt;"",ISNUMBER(L15)),AND(Q15&lt;&gt;"",ISNUMBER(Q15)),NOT(AND(X15&lt;&gt;"",ISNUMBER(X15))),NOT(AND(AA15&lt;&gt;"",ISNUMBER(AA15)))),"PS-CS Filed - F9 &amp; F18 Not Filed",IF(AND(AND(L15&lt;&gt;"",ISNUMBER(L15)),NOT(AND(Q15&lt;&gt;"",ISNUMBER(Q15)))),"PS Filed - CS Not Filed","Not Started"))))))))))))))</f>
        <v>Published</v>
      </c>
      <c r="BI15" s="23"/>
      <c r="BJ15" s="31"/>
      <c r="BK15" s="31"/>
    </row>
    <row r="16" spans="1:63" ht="138.75">
      <c r="A16" s="13" t="s">
        <v>145</v>
      </c>
      <c r="B16" s="14" t="s">
        <v>146</v>
      </c>
      <c r="C16" s="13" t="s">
        <v>81</v>
      </c>
      <c r="D16" s="13" t="s">
        <v>67</v>
      </c>
      <c r="E16" s="15" t="s">
        <v>299</v>
      </c>
      <c r="F16" s="13" t="s">
        <v>147</v>
      </c>
      <c r="G16" s="13" t="s">
        <v>148</v>
      </c>
      <c r="H16" s="13" t="s">
        <v>149</v>
      </c>
      <c r="I16" s="13" t="s">
        <v>150</v>
      </c>
      <c r="J16" s="13" t="s">
        <v>75</v>
      </c>
      <c r="K16" s="13">
        <v>202441045401</v>
      </c>
      <c r="L16" s="17">
        <v>45455</v>
      </c>
      <c r="M16" s="18"/>
      <c r="N16" s="18"/>
      <c r="O16" s="18" t="str">
        <f t="shared" si="0"/>
        <v>Not yet Postdated</v>
      </c>
      <c r="P16" s="18">
        <f t="shared" si="1"/>
        <v>45820</v>
      </c>
      <c r="Q16" s="17">
        <v>45819</v>
      </c>
      <c r="R16" s="18"/>
      <c r="S16" s="17">
        <f t="shared" si="2"/>
        <v>45638</v>
      </c>
      <c r="T16" s="17">
        <v>45631</v>
      </c>
      <c r="U16" s="17">
        <f t="shared" si="3"/>
        <v>45547</v>
      </c>
      <c r="V16" s="17">
        <v>45465</v>
      </c>
      <c r="W16" s="13" t="s">
        <v>108</v>
      </c>
      <c r="X16" s="17">
        <v>45827</v>
      </c>
      <c r="Y16" s="17"/>
      <c r="Z16" s="18"/>
      <c r="AA16" s="17" t="s">
        <v>151</v>
      </c>
      <c r="AB16" s="17">
        <v>45835</v>
      </c>
      <c r="AC16" s="18" t="e">
        <f t="shared" si="7"/>
        <v>#VALUE!</v>
      </c>
      <c r="AD16" s="19" t="str">
        <f t="shared" si="4"/>
        <v>26/2025</v>
      </c>
      <c r="AE16" s="17" t="s">
        <v>75</v>
      </c>
      <c r="AF16" s="18" t="str">
        <f t="shared" si="5"/>
        <v>NA</v>
      </c>
      <c r="AG16" s="19" t="s">
        <v>75</v>
      </c>
      <c r="AH16" s="17"/>
      <c r="AI16" s="18" t="str">
        <f t="shared" si="6"/>
        <v>NA</v>
      </c>
      <c r="AJ16" s="17" t="s">
        <v>75</v>
      </c>
      <c r="AK16" s="17" t="s">
        <v>75</v>
      </c>
      <c r="AL16" s="17"/>
      <c r="AM16" s="17" t="s">
        <v>75</v>
      </c>
      <c r="AN16" s="17" t="s">
        <v>75</v>
      </c>
      <c r="AO16" s="17"/>
      <c r="AP16" s="17" t="s">
        <v>75</v>
      </c>
      <c r="AQ16" s="17" t="s">
        <v>75</v>
      </c>
      <c r="AR16" s="17" t="s">
        <v>75</v>
      </c>
      <c r="AS16" s="13" t="str">
        <f ca="1">IF(OR(S16=0, S16=""), "No F1 deadline to compare", IF(T16&gt;0, IF(T16&gt;S16, "Filed after " &amp; (T16-S16) &amp; " days of deadline", "Filed within deadline"), IF(TODAY()&gt;S16, "Delayed by " &amp; (TODAY()-S16) &amp; " days", (S16-TODAY()) &amp; " days left")))</f>
        <v>Filed within deadline</v>
      </c>
      <c r="AT16" s="21" t="str">
        <f ca="1">IF(OR(TRIM(U16)="", U16=0), "No F26 deadline to compare", IF(AND(TRIM(V16)&lt;&gt;"", ISNUMBER(V16)), IF(V16&gt;U16, "Filed after " &amp; (V16-U16) &amp; " days of deadline", "Filed within deadline"), IF(TODAY()&gt;U16, "Delayed by " &amp; (TODAY()-U16) &amp; " days", (U16-TODAY()) &amp; " days left")))</f>
        <v>Filed within deadline</v>
      </c>
      <c r="AU16" s="22"/>
      <c r="AV16" s="22"/>
      <c r="AW16" s="22"/>
      <c r="AX16" s="21"/>
      <c r="AY16" s="22"/>
      <c r="AZ16" s="22"/>
      <c r="BA16" s="22"/>
      <c r="BB16" s="21"/>
      <c r="BC16" s="21"/>
      <c r="BD16" s="21"/>
      <c r="BE16" s="21"/>
      <c r="BF16" s="21"/>
      <c r="BG16" s="21"/>
      <c r="BH16" s="13" t="str">
        <f>IF(AND(AP16&lt;&gt;"",ISNUMBER(AP16)),"Patent Refused",IF(AND(AN16&lt;&gt;"",ISNUMBER(AN16)),"Patent Granted",IF(AND(AM16&lt;&gt;"",ISNUMBER(AM16)),"WS Filed",IF(AND(AND(AK16&lt;&gt;"",ISNUMBER(AK16)),NOT(AND(AM16&lt;&gt;"",ISNUMBER(AM16)))),"Hearing Attended - WS Not Filed",IF(AND(AND(AJ16&lt;&gt;"",ISNUMBER(AJ16)),NOT(AND(AK16&lt;&gt;"",ISNUMBER(AK16)))),"Hearing Issued",IF(AND(AG16&lt;&gt;"",ISNUMBER(AG16)),"FER Reply Filed",IF(AND(AND(AE16&lt;&gt;"",ISNUMBER(AE16)),NOT(AND(AG16&lt;&gt;"",ISNUMBER(AG16)))),"FER Received - Reply Not Filed",IF(AND(AB16&lt;&gt;"",ISNUMBER(AB16)),"Published",IF(AND(AND(X16&lt;&gt;"",ISNUMBER(X16)),AND(AA16&lt;&gt;"",ISNUMBER(AA16))),"F9 &amp; F18 Filed",IF(AND(NOT(AND(X16&lt;&gt;"",ISNUMBER(X16))),AND(AA16&lt;&gt;"",ISNUMBER(AA16))),"F9 Not Filed - F18 Filed",IF(AND(AND(X16&lt;&gt;"",ISNUMBER(X16)),NOT(AND(AA16&lt;&gt;"",ISNUMBER(AA16)))),"F9 Filed - F18 Not Filed",IF(AND(NOT(AND(L16&lt;&gt;"",ISNUMBER(L16))),AND(Q16&lt;&gt;"",ISNUMBER(Q16)),NOT(AND(X16&lt;&gt;"",ISNUMBER(X16))),NOT(AND(AA16&lt;&gt;"",ISNUMBER(AA16)))),"Direct CS Filed - F9 &amp; F18 Not Filed",IF(AND(AND(L16&lt;&gt;"",ISNUMBER(L16)),AND(Q16&lt;&gt;"",ISNUMBER(Q16)),NOT(AND(X16&lt;&gt;"",ISNUMBER(X16))),NOT(AND(AA16&lt;&gt;"",ISNUMBER(AA16)))),"PS-CS Filed - F9 &amp; F18 Not Filed",IF(AND(AND(L16&lt;&gt;"",ISNUMBER(L16)),NOT(AND(Q16&lt;&gt;"",ISNUMBER(Q16)))),"PS Filed - CS Not Filed","Not Started"))))))))))))))</f>
        <v>Published</v>
      </c>
      <c r="BI16" s="23"/>
      <c r="BJ16" s="31"/>
      <c r="BK16" s="31"/>
    </row>
    <row r="17" spans="1:63" ht="138.75">
      <c r="A17" s="13" t="s">
        <v>161</v>
      </c>
      <c r="B17" s="14" t="s">
        <v>162</v>
      </c>
      <c r="C17" s="13" t="s">
        <v>81</v>
      </c>
      <c r="D17" s="13" t="s">
        <v>67</v>
      </c>
      <c r="E17" s="15" t="s">
        <v>306</v>
      </c>
      <c r="F17" s="13" t="s">
        <v>163</v>
      </c>
      <c r="G17" s="13" t="s">
        <v>93</v>
      </c>
      <c r="H17" s="13" t="s">
        <v>165</v>
      </c>
      <c r="I17" s="13" t="s">
        <v>150</v>
      </c>
      <c r="J17" s="13" t="s">
        <v>75</v>
      </c>
      <c r="K17" s="13">
        <v>202441047436</v>
      </c>
      <c r="L17" s="17">
        <v>45463</v>
      </c>
      <c r="M17" s="18"/>
      <c r="N17" s="18"/>
      <c r="O17" s="18" t="str">
        <f t="shared" si="0"/>
        <v>Not yet Postdated</v>
      </c>
      <c r="P17" s="18">
        <f t="shared" si="1"/>
        <v>45828</v>
      </c>
      <c r="Q17" s="17">
        <v>45825</v>
      </c>
      <c r="R17" s="18"/>
      <c r="S17" s="17">
        <f t="shared" si="2"/>
        <v>45646</v>
      </c>
      <c r="T17" s="17">
        <v>45631</v>
      </c>
      <c r="U17" s="17">
        <f t="shared" si="3"/>
        <v>45555</v>
      </c>
      <c r="V17" s="17">
        <v>45632</v>
      </c>
      <c r="W17" s="13" t="s">
        <v>108</v>
      </c>
      <c r="X17" s="17" t="s">
        <v>166</v>
      </c>
      <c r="Y17" s="17"/>
      <c r="Z17" s="18"/>
      <c r="AA17" s="17" t="s">
        <v>151</v>
      </c>
      <c r="AB17" s="17">
        <v>46017</v>
      </c>
      <c r="AC17" s="18" t="e">
        <f t="shared" si="7"/>
        <v>#VALUE!</v>
      </c>
      <c r="AD17" s="19" t="str">
        <f t="shared" si="4"/>
        <v>52/2025</v>
      </c>
      <c r="AE17" s="17" t="s">
        <v>75</v>
      </c>
      <c r="AF17" s="18" t="str">
        <f t="shared" si="5"/>
        <v>NA</v>
      </c>
      <c r="AG17" s="19" t="s">
        <v>75</v>
      </c>
      <c r="AH17" s="17"/>
      <c r="AI17" s="18" t="str">
        <f t="shared" si="6"/>
        <v>NA</v>
      </c>
      <c r="AJ17" s="17" t="s">
        <v>75</v>
      </c>
      <c r="AK17" s="17" t="s">
        <v>75</v>
      </c>
      <c r="AL17" s="17"/>
      <c r="AM17" s="17" t="s">
        <v>75</v>
      </c>
      <c r="AN17" s="17" t="s">
        <v>75</v>
      </c>
      <c r="AO17" s="17"/>
      <c r="AP17" s="17" t="s">
        <v>75</v>
      </c>
      <c r="AQ17" s="17" t="s">
        <v>75</v>
      </c>
      <c r="AR17" s="17" t="s">
        <v>75</v>
      </c>
      <c r="AS17" s="13" t="str">
        <f ca="1">IF(OR(S17=0, S17=""), "No F1 deadline to compare", IF(T17&gt;0, IF(T17&gt;S17, "Filed after " &amp; (T17-S17) &amp; " days of deadline", "Filed within deadline"), IF(TODAY()&gt;S17, "Delayed by " &amp; (TODAY()-S17) &amp; " days", (S17-TODAY()) &amp; " days left")))</f>
        <v>Filed within deadline</v>
      </c>
      <c r="AT17" s="21" t="str">
        <f ca="1">IF(OR(TRIM(U17)="", U17=0), "No F26 deadline to compare", IF(AND(TRIM(V17)&lt;&gt;"", ISNUMBER(V17)), IF(V17&gt;U17, "Filed after " &amp; (V17-U17) &amp; " days of deadline", "Filed within deadline"), IF(TODAY()&gt;U17, "Delayed by " &amp; (TODAY()-U17) &amp; " days", (U17-TODAY()) &amp; " days left")))</f>
        <v>Filed after 77 days of deadline</v>
      </c>
      <c r="AU17" s="22"/>
      <c r="AV17" s="22"/>
      <c r="AW17" s="22"/>
      <c r="AX17" s="21"/>
      <c r="AY17" s="22"/>
      <c r="AZ17" s="22"/>
      <c r="BA17" s="22"/>
      <c r="BB17" s="21"/>
      <c r="BC17" s="21"/>
      <c r="BD17" s="21"/>
      <c r="BE17" s="21"/>
      <c r="BF17" s="21"/>
      <c r="BG17" s="21"/>
      <c r="BH17" s="13" t="str">
        <f>IF(AND(AP17&lt;&gt;"",ISNUMBER(AP17)),"Patent Refused",IF(AND(AN17&lt;&gt;"",ISNUMBER(AN17)),"Patent Granted",IF(AND(AM17&lt;&gt;"",ISNUMBER(AM17)),"WS Filed",IF(AND(AND(AK17&lt;&gt;"",ISNUMBER(AK17)),NOT(AND(AM17&lt;&gt;"",ISNUMBER(AM17)))),"Hearing Attended - WS Not Filed",IF(AND(AND(AJ17&lt;&gt;"",ISNUMBER(AJ17)),NOT(AND(AK17&lt;&gt;"",ISNUMBER(AK17)))),"Hearing Issued",IF(AND(AG17&lt;&gt;"",ISNUMBER(AG17)),"FER Reply Filed",IF(AND(AND(AE17&lt;&gt;"",ISNUMBER(AE17)),NOT(AND(AG17&lt;&gt;"",ISNUMBER(AG17)))),"FER Received - Reply Not Filed",IF(AND(AB17&lt;&gt;"",ISNUMBER(AB17)),"Published",IF(AND(AND(X17&lt;&gt;"",ISNUMBER(X17)),AND(AA17&lt;&gt;"",ISNUMBER(AA17))),"F9 &amp; F18 Filed",IF(AND(NOT(AND(X17&lt;&gt;"",ISNUMBER(X17))),AND(AA17&lt;&gt;"",ISNUMBER(AA17))),"F9 Not Filed - F18 Filed",IF(AND(AND(X17&lt;&gt;"",ISNUMBER(X17)),NOT(AND(AA17&lt;&gt;"",ISNUMBER(AA17)))),"F9 Filed - F18 Not Filed",IF(AND(NOT(AND(L17&lt;&gt;"",ISNUMBER(L17))),AND(Q17&lt;&gt;"",ISNUMBER(Q17)),NOT(AND(X17&lt;&gt;"",ISNUMBER(X17))),NOT(AND(AA17&lt;&gt;"",ISNUMBER(AA17)))),"Direct CS Filed - F9 &amp; F18 Not Filed",IF(AND(AND(L17&lt;&gt;"",ISNUMBER(L17)),AND(Q17&lt;&gt;"",ISNUMBER(Q17)),NOT(AND(X17&lt;&gt;"",ISNUMBER(X17))),NOT(AND(AA17&lt;&gt;"",ISNUMBER(AA17)))),"PS-CS Filed - F9 &amp; F18 Not Filed",IF(AND(AND(L17&lt;&gt;"",ISNUMBER(L17)),NOT(AND(Q17&lt;&gt;"",ISNUMBER(Q17)))),"PS Filed - CS Not Filed","Not Started"))))))))))))))</f>
        <v>Published</v>
      </c>
      <c r="BI17" s="23"/>
      <c r="BJ17" s="31"/>
      <c r="BK17" s="31"/>
    </row>
    <row r="18" spans="1:63" ht="409.5">
      <c r="A18" s="14" t="s">
        <v>172</v>
      </c>
      <c r="B18" s="14" t="s">
        <v>173</v>
      </c>
      <c r="C18" s="13" t="s">
        <v>96</v>
      </c>
      <c r="D18" s="13" t="s">
        <v>67</v>
      </c>
      <c r="E18" s="15" t="s">
        <v>307</v>
      </c>
      <c r="F18" s="13" t="s">
        <v>174</v>
      </c>
      <c r="G18" s="13" t="s">
        <v>175</v>
      </c>
      <c r="H18" s="13" t="s">
        <v>176</v>
      </c>
      <c r="I18" s="13" t="s">
        <v>177</v>
      </c>
      <c r="J18" s="13"/>
      <c r="K18" s="13">
        <v>202441071573</v>
      </c>
      <c r="L18" s="17">
        <v>45557</v>
      </c>
      <c r="M18" s="18">
        <v>45738</v>
      </c>
      <c r="N18" s="18"/>
      <c r="O18" s="18" t="str">
        <f t="shared" si="0"/>
        <v>0 months left (0 days)</v>
      </c>
      <c r="P18" s="18">
        <f t="shared" si="1"/>
        <v>46103</v>
      </c>
      <c r="Q18" s="17">
        <v>46013</v>
      </c>
      <c r="R18" s="18"/>
      <c r="S18" s="17">
        <f t="shared" si="2"/>
        <v>45922</v>
      </c>
      <c r="T18" s="17">
        <v>45563</v>
      </c>
      <c r="U18" s="17">
        <f t="shared" si="3"/>
        <v>45830</v>
      </c>
      <c r="V18" s="17">
        <v>45632</v>
      </c>
      <c r="W18" s="13" t="s">
        <v>89</v>
      </c>
      <c r="X18" s="17" t="s">
        <v>166</v>
      </c>
      <c r="Y18" s="17"/>
      <c r="Z18" s="18"/>
      <c r="AA18" s="17" t="s">
        <v>166</v>
      </c>
      <c r="AB18" s="17">
        <v>46290</v>
      </c>
      <c r="AC18" s="18" t="e">
        <f t="shared" si="7"/>
        <v>#VALUE!</v>
      </c>
      <c r="AD18" s="19" t="str">
        <f t="shared" si="4"/>
        <v>39/2026</v>
      </c>
      <c r="AE18" s="17" t="s">
        <v>75</v>
      </c>
      <c r="AF18" s="18" t="str">
        <f t="shared" si="5"/>
        <v>NA</v>
      </c>
      <c r="AG18" s="19" t="s">
        <v>75</v>
      </c>
      <c r="AH18" s="17"/>
      <c r="AI18" s="18" t="str">
        <f t="shared" si="6"/>
        <v>NA</v>
      </c>
      <c r="AJ18" s="17" t="s">
        <v>75</v>
      </c>
      <c r="AK18" s="17" t="s">
        <v>75</v>
      </c>
      <c r="AL18" s="17"/>
      <c r="AM18" s="17" t="s">
        <v>75</v>
      </c>
      <c r="AN18" s="17" t="s">
        <v>75</v>
      </c>
      <c r="AO18" s="17"/>
      <c r="AP18" s="17" t="s">
        <v>75</v>
      </c>
      <c r="AQ18" s="17" t="s">
        <v>75</v>
      </c>
      <c r="AR18" s="17" t="s">
        <v>75</v>
      </c>
      <c r="AS18" s="13" t="str">
        <f ca="1">IF(OR(S18=0, S18=""), "No F1 deadline to compare", IF(T18&gt;0, IF(T18&gt;S18, "Filed after " &amp; (T18-S18) &amp; " days of deadline", "Filed within deadline"), IF(TODAY()&gt;S18, "Delayed by " &amp; (TODAY()-S18) &amp; " days", (S18-TODAY()) &amp; " days left")))</f>
        <v>Filed within deadline</v>
      </c>
      <c r="AT18" s="21" t="str">
        <f ca="1">IF(OR(TRIM(U18)="", U18=0), "No F26 deadline to compare", IF(AND(TRIM(V18)&lt;&gt;"", ISNUMBER(V18)), IF(V18&gt;U18, "Filed after " &amp; (V18-U18) &amp; " days of deadline", "Filed within deadline"), IF(TODAY()&gt;U18, "Delayed by " &amp; (TODAY()-U18) &amp; " days", (U18-TODAY()) &amp; " days left")))</f>
        <v>Filed within deadline</v>
      </c>
      <c r="AU18" s="22"/>
      <c r="AV18" s="22"/>
      <c r="AW18" s="22"/>
      <c r="AX18" s="21"/>
      <c r="AY18" s="22"/>
      <c r="AZ18" s="22"/>
      <c r="BA18" s="22"/>
      <c r="BB18" s="21"/>
      <c r="BC18" s="21"/>
      <c r="BD18" s="21"/>
      <c r="BE18" s="21"/>
      <c r="BF18" s="21"/>
      <c r="BG18" s="21"/>
      <c r="BH18" s="13" t="str">
        <f>IF(AND(AP18&lt;&gt;"",ISNUMBER(AP18)),"Patent Refused",IF(AND(AN18&lt;&gt;"",ISNUMBER(AN18)),"Patent Granted",IF(AND(AM18&lt;&gt;"",ISNUMBER(AM18)),"WS Filed",IF(AND(AND(AK18&lt;&gt;"",ISNUMBER(AK18)),NOT(AND(AM18&lt;&gt;"",ISNUMBER(AM18)))),"Hearing Attended - WS Not Filed",IF(AND(AND(AJ18&lt;&gt;"",ISNUMBER(AJ18)),NOT(AND(AK18&lt;&gt;"",ISNUMBER(AK18)))),"Hearing Issued",IF(AND(AG18&lt;&gt;"",ISNUMBER(AG18)),"FER Reply Filed",IF(AND(AND(AE18&lt;&gt;"",ISNUMBER(AE18)),NOT(AND(AG18&lt;&gt;"",ISNUMBER(AG18)))),"FER Received - Reply Not Filed",IF(AND(AB18&lt;&gt;"",ISNUMBER(AB18)),"Published",IF(AND(AND(X18&lt;&gt;"",ISNUMBER(X18)),AND(AA18&lt;&gt;"",ISNUMBER(AA18))),"F9 &amp; F18 Filed",IF(AND(NOT(AND(X18&lt;&gt;"",ISNUMBER(X18))),AND(AA18&lt;&gt;"",ISNUMBER(AA18))),"F9 Not Filed - F18 Filed",IF(AND(AND(X18&lt;&gt;"",ISNUMBER(X18)),NOT(AND(AA18&lt;&gt;"",ISNUMBER(AA18)))),"F9 Filed - F18 Not Filed",IF(AND(NOT(AND(L18&lt;&gt;"",ISNUMBER(L18))),AND(Q18&lt;&gt;"",ISNUMBER(Q18)),NOT(AND(X18&lt;&gt;"",ISNUMBER(X18))),NOT(AND(AA18&lt;&gt;"",ISNUMBER(AA18)))),"Direct CS Filed - F9 &amp; F18 Not Filed",IF(AND(AND(L18&lt;&gt;"",ISNUMBER(L18)),AND(Q18&lt;&gt;"",ISNUMBER(Q18)),NOT(AND(X18&lt;&gt;"",ISNUMBER(X18))),NOT(AND(AA18&lt;&gt;"",ISNUMBER(AA18)))),"PS-CS Filed - F9 &amp; F18 Not Filed",IF(AND(AND(L18&lt;&gt;"",ISNUMBER(L18)),NOT(AND(Q18&lt;&gt;"",ISNUMBER(Q18)))),"PS Filed - CS Not Filed","Not Started"))))))))))))))</f>
        <v>Published</v>
      </c>
      <c r="BI18" s="23"/>
      <c r="BJ18" s="31"/>
      <c r="BK18" s="31"/>
    </row>
    <row r="19" spans="1:63" ht="13.9">
      <c r="A19" s="13" t="s">
        <v>314</v>
      </c>
      <c r="B19" s="14"/>
      <c r="C19" s="13"/>
      <c r="D19" s="13" t="s">
        <v>67</v>
      </c>
      <c r="E19" s="15"/>
      <c r="F19" s="13"/>
      <c r="G19" s="13"/>
      <c r="H19" s="13"/>
      <c r="I19" s="13"/>
      <c r="J19" s="13"/>
      <c r="K19" s="13"/>
      <c r="L19" s="17"/>
      <c r="M19" s="18"/>
      <c r="N19" s="18"/>
      <c r="O19" s="18" t="str">
        <f t="shared" si="0"/>
        <v>PS Not yet filed</v>
      </c>
      <c r="P19" s="18" t="str">
        <f t="shared" si="1"/>
        <v/>
      </c>
      <c r="Q19" s="17"/>
      <c r="R19" s="18"/>
      <c r="S19" s="17" t="str">
        <f t="shared" si="2"/>
        <v>NA</v>
      </c>
      <c r="T19" s="17"/>
      <c r="U19" s="17" t="str">
        <f t="shared" si="3"/>
        <v>NA</v>
      </c>
      <c r="V19" s="17"/>
      <c r="W19" s="13" t="s">
        <v>139</v>
      </c>
      <c r="X19" s="17"/>
      <c r="Y19" s="17"/>
      <c r="Z19" s="18"/>
      <c r="AA19" s="17"/>
      <c r="AB19" s="17"/>
      <c r="AC19" s="18" t="e">
        <f t="shared" si="7"/>
        <v>#VALUE!</v>
      </c>
      <c r="AD19" s="19">
        <f t="shared" si="4"/>
        <v>0</v>
      </c>
      <c r="AE19" s="17"/>
      <c r="AF19" s="18" t="str">
        <f t="shared" si="5"/>
        <v>NA</v>
      </c>
      <c r="AG19" s="19"/>
      <c r="AH19" s="17"/>
      <c r="AI19" s="18" t="str">
        <f t="shared" si="6"/>
        <v>NA</v>
      </c>
      <c r="AJ19" s="17" t="s">
        <v>75</v>
      </c>
      <c r="AK19" s="17" t="s">
        <v>75</v>
      </c>
      <c r="AL19" s="17"/>
      <c r="AM19" s="17" t="s">
        <v>75</v>
      </c>
      <c r="AN19" s="17" t="s">
        <v>75</v>
      </c>
      <c r="AO19" s="17"/>
      <c r="AP19" s="17" t="s">
        <v>75</v>
      </c>
      <c r="AQ19" s="17" t="s">
        <v>75</v>
      </c>
      <c r="AR19" s="17" t="s">
        <v>75</v>
      </c>
      <c r="AS19" s="13" t="e">
        <f ca="1">IF(OR(S19=0, S19=""), "No F1 deadline to compare", IF(T19&gt;0, IF(T19&gt;S19, "Filed after " &amp; (T19-S19) &amp; " days of deadline", "Filed within deadline"), IF(TODAY()&gt;S19, "Delayed by " &amp; (TODAY()-S19) &amp; " days", (S19-TODAY()) &amp; " days left")))</f>
        <v>#VALUE!</v>
      </c>
      <c r="AT19" s="21" t="e">
        <f ca="1">IF(OR(TRIM(U19)="", U19=0), "No F26 deadline to compare", IF(AND(TRIM(V19)&lt;&gt;"", ISNUMBER(V19)), IF(V19&gt;U19, "Filed after " &amp; (V19-U19) &amp; " days of deadline", "Filed within deadline"), IF(TODAY()&gt;U19, "Delayed by " &amp; (TODAY()-U19) &amp; " days", (U19-TODAY()) &amp; " days left")))</f>
        <v>#VALUE!</v>
      </c>
      <c r="AU19" s="22"/>
      <c r="AV19" s="22"/>
      <c r="AW19" s="22"/>
      <c r="AX19" s="21"/>
      <c r="AY19" s="22"/>
      <c r="AZ19" s="22"/>
      <c r="BA19" s="22"/>
      <c r="BB19" s="21"/>
      <c r="BC19" s="21"/>
      <c r="BD19" s="21"/>
      <c r="BE19" s="21"/>
      <c r="BF19" s="21"/>
      <c r="BG19" s="21"/>
      <c r="BH19" s="13" t="str">
        <f>IF(AND(AP19&lt;&gt;"",ISNUMBER(AP19)),"Patent Refused",IF(AND(AN19&lt;&gt;"",ISNUMBER(AN19)),"Patent Granted",IF(AND(AM19&lt;&gt;"",ISNUMBER(AM19)),"WS Filed",IF(AND(AND(AK19&lt;&gt;"",ISNUMBER(AK19)),NOT(AND(AM19&lt;&gt;"",ISNUMBER(AM19)))),"Hearing Attended - WS Not Filed",IF(AND(AND(AJ19&lt;&gt;"",ISNUMBER(AJ19)),NOT(AND(AK19&lt;&gt;"",ISNUMBER(AK19)))),"Hearing Issued",IF(AND(AG19&lt;&gt;"",ISNUMBER(AG19)),"FER Reply Filed",IF(AND(AND(AE19&lt;&gt;"",ISNUMBER(AE19)),NOT(AND(AG19&lt;&gt;"",ISNUMBER(AG19)))),"FER Received - Reply Not Filed",IF(AND(AB19&lt;&gt;"",ISNUMBER(AB19)),"Published",IF(AND(AND(X19&lt;&gt;"",ISNUMBER(X19)),AND(AA19&lt;&gt;"",ISNUMBER(AA19))),"F9 &amp; F18 Filed",IF(AND(NOT(AND(X19&lt;&gt;"",ISNUMBER(X19))),AND(AA19&lt;&gt;"",ISNUMBER(AA19))),"F9 Not Filed - F18 Filed",IF(AND(AND(X19&lt;&gt;"",ISNUMBER(X19)),NOT(AND(AA19&lt;&gt;"",ISNUMBER(AA19)))),"F9 Filed - F18 Not Filed",IF(AND(NOT(AND(L19&lt;&gt;"",ISNUMBER(L19))),AND(Q19&lt;&gt;"",ISNUMBER(Q19)),NOT(AND(X19&lt;&gt;"",ISNUMBER(X19))),NOT(AND(AA19&lt;&gt;"",ISNUMBER(AA19)))),"Direct CS Filed - F9 &amp; F18 Not Filed",IF(AND(AND(L19&lt;&gt;"",ISNUMBER(L19)),AND(Q19&lt;&gt;"",ISNUMBER(Q19)),NOT(AND(X19&lt;&gt;"",ISNUMBER(X19))),NOT(AND(AA19&lt;&gt;"",ISNUMBER(AA19)))),"PS-CS Filed - F9 &amp; F18 Not Filed",IF(AND(AND(L19&lt;&gt;"",ISNUMBER(L19)),NOT(AND(Q19&lt;&gt;"",ISNUMBER(Q19)))),"PS Filed - CS Not Filed","Not Started"))))))))))))))</f>
        <v>Not Started</v>
      </c>
      <c r="BI19" s="23"/>
      <c r="BJ19" s="31"/>
      <c r="BK19" s="31"/>
    </row>
    <row r="20" spans="1:63" ht="13.9">
      <c r="A20" s="13" t="s">
        <v>321</v>
      </c>
      <c r="B20" s="14"/>
      <c r="C20" s="13"/>
      <c r="D20" s="13" t="s">
        <v>67</v>
      </c>
      <c r="E20" s="15"/>
      <c r="F20" s="13"/>
      <c r="G20" s="13"/>
      <c r="H20" s="13"/>
      <c r="I20" s="13"/>
      <c r="J20" s="13"/>
      <c r="K20" s="13"/>
      <c r="L20" s="17"/>
      <c r="M20" s="18"/>
      <c r="N20" s="18"/>
      <c r="O20" s="18" t="str">
        <f t="shared" si="0"/>
        <v>PS Not yet filed</v>
      </c>
      <c r="P20" s="18" t="str">
        <f t="shared" si="1"/>
        <v/>
      </c>
      <c r="Q20" s="17"/>
      <c r="R20" s="18"/>
      <c r="S20" s="17" t="str">
        <f t="shared" si="2"/>
        <v>NA</v>
      </c>
      <c r="T20" s="17"/>
      <c r="U20" s="17" t="str">
        <f t="shared" si="3"/>
        <v>NA</v>
      </c>
      <c r="V20" s="17"/>
      <c r="W20" s="13" t="s">
        <v>139</v>
      </c>
      <c r="X20" s="17"/>
      <c r="Y20" s="17"/>
      <c r="Z20" s="18"/>
      <c r="AA20" s="17"/>
      <c r="AB20" s="17"/>
      <c r="AC20" s="18" t="e">
        <f t="shared" si="7"/>
        <v>#VALUE!</v>
      </c>
      <c r="AD20" s="19">
        <f t="shared" si="4"/>
        <v>0</v>
      </c>
      <c r="AE20" s="17"/>
      <c r="AF20" s="18" t="str">
        <f t="shared" si="5"/>
        <v>NA</v>
      </c>
      <c r="AG20" s="19"/>
      <c r="AH20" s="17"/>
      <c r="AI20" s="18" t="str">
        <f t="shared" si="6"/>
        <v>NA</v>
      </c>
      <c r="AJ20" s="17" t="s">
        <v>75</v>
      </c>
      <c r="AK20" s="17" t="s">
        <v>75</v>
      </c>
      <c r="AL20" s="17"/>
      <c r="AM20" s="17" t="s">
        <v>75</v>
      </c>
      <c r="AN20" s="17" t="s">
        <v>75</v>
      </c>
      <c r="AO20" s="17"/>
      <c r="AP20" s="17" t="s">
        <v>75</v>
      </c>
      <c r="AQ20" s="17" t="s">
        <v>75</v>
      </c>
      <c r="AR20" s="17" t="s">
        <v>75</v>
      </c>
      <c r="AS20" s="13" t="e">
        <f ca="1">IF(OR(S20=0, S20=""), "No F1 deadline to compare", IF(T20&gt;0, IF(T20&gt;S20, "Filed after " &amp; (T20-S20) &amp; " days of deadline", "Filed within deadline"), IF(TODAY()&gt;S20, "Delayed by " &amp; (TODAY()-S20) &amp; " days", (S20-TODAY()) &amp; " days left")))</f>
        <v>#VALUE!</v>
      </c>
      <c r="AT20" s="21" t="e">
        <f ca="1">IF(OR(TRIM(U20)="", U20=0), "No F26 deadline to compare", IF(AND(TRIM(V20)&lt;&gt;"", ISNUMBER(V20)), IF(V20&gt;U20, "Filed after " &amp; (V20-U20) &amp; " days of deadline", "Filed within deadline"), IF(TODAY()&gt;U20, "Delayed by " &amp; (TODAY()-U20) &amp; " days", (U20-TODAY()) &amp; " days left")))</f>
        <v>#VALUE!</v>
      </c>
      <c r="AU20" s="22"/>
      <c r="AV20" s="22"/>
      <c r="AW20" s="22"/>
      <c r="AX20" s="21"/>
      <c r="AY20" s="22"/>
      <c r="AZ20" s="22"/>
      <c r="BA20" s="22"/>
      <c r="BB20" s="21"/>
      <c r="BC20" s="21"/>
      <c r="BD20" s="21"/>
      <c r="BE20" s="21"/>
      <c r="BF20" s="21"/>
      <c r="BG20" s="21"/>
      <c r="BH20" s="13" t="str">
        <f>IF(AND(AP20&lt;&gt;"",ISNUMBER(AP20)),"Patent Refused",IF(AND(AN20&lt;&gt;"",ISNUMBER(AN20)),"Patent Granted",IF(AND(AM20&lt;&gt;"",ISNUMBER(AM20)),"WS Filed",IF(AND(AND(AK20&lt;&gt;"",ISNUMBER(AK20)),NOT(AND(AM20&lt;&gt;"",ISNUMBER(AM20)))),"Hearing Attended - WS Not Filed",IF(AND(AND(AJ20&lt;&gt;"",ISNUMBER(AJ20)),NOT(AND(AK20&lt;&gt;"",ISNUMBER(AK20)))),"Hearing Issued",IF(AND(AG20&lt;&gt;"",ISNUMBER(AG20)),"FER Reply Filed",IF(AND(AND(AE20&lt;&gt;"",ISNUMBER(AE20)),NOT(AND(AG20&lt;&gt;"",ISNUMBER(AG20)))),"FER Received - Reply Not Filed",IF(AND(AB20&lt;&gt;"",ISNUMBER(AB20)),"Published",IF(AND(AND(X20&lt;&gt;"",ISNUMBER(X20)),AND(AA20&lt;&gt;"",ISNUMBER(AA20))),"F9 &amp; F18 Filed",IF(AND(NOT(AND(X20&lt;&gt;"",ISNUMBER(X20))),AND(AA20&lt;&gt;"",ISNUMBER(AA20))),"F9 Not Filed - F18 Filed",IF(AND(AND(X20&lt;&gt;"",ISNUMBER(X20)),NOT(AND(AA20&lt;&gt;"",ISNUMBER(AA20)))),"F9 Filed - F18 Not Filed",IF(AND(NOT(AND(L20&lt;&gt;"",ISNUMBER(L20))),AND(Q20&lt;&gt;"",ISNUMBER(Q20)),NOT(AND(X20&lt;&gt;"",ISNUMBER(X20))),NOT(AND(AA20&lt;&gt;"",ISNUMBER(AA20)))),"Direct CS Filed - F9 &amp; F18 Not Filed",IF(AND(AND(L20&lt;&gt;"",ISNUMBER(L20)),AND(Q20&lt;&gt;"",ISNUMBER(Q20)),NOT(AND(X20&lt;&gt;"",ISNUMBER(X20))),NOT(AND(AA20&lt;&gt;"",ISNUMBER(AA20)))),"PS-CS Filed - F9 &amp; F18 Not Filed",IF(AND(AND(L20&lt;&gt;"",ISNUMBER(L20)),NOT(AND(Q20&lt;&gt;"",ISNUMBER(Q20)))),"PS Filed - CS Not Filed","Not Started"))))))))))))))</f>
        <v>Not Started</v>
      </c>
      <c r="BI20" s="23"/>
      <c r="BJ20" s="31"/>
      <c r="BK20" s="31"/>
    </row>
    <row r="21" spans="1:63" ht="69.400000000000006">
      <c r="A21" s="13" t="s">
        <v>184</v>
      </c>
      <c r="B21" s="14" t="s">
        <v>185</v>
      </c>
      <c r="C21" s="13" t="s">
        <v>81</v>
      </c>
      <c r="D21" s="13" t="s">
        <v>67</v>
      </c>
      <c r="E21" s="15" t="s">
        <v>328</v>
      </c>
      <c r="F21" s="13" t="s">
        <v>186</v>
      </c>
      <c r="G21" s="13" t="s">
        <v>329</v>
      </c>
      <c r="H21" s="13" t="s">
        <v>187</v>
      </c>
      <c r="I21" s="13" t="s">
        <v>188</v>
      </c>
      <c r="J21" s="13" t="s">
        <v>75</v>
      </c>
      <c r="K21" s="13">
        <v>202441060460</v>
      </c>
      <c r="L21" s="17">
        <v>45513</v>
      </c>
      <c r="M21" s="18">
        <v>45605</v>
      </c>
      <c r="N21" s="18"/>
      <c r="O21" s="18" t="str">
        <f t="shared" si="0"/>
        <v>3 months left (92 days)</v>
      </c>
      <c r="P21" s="18">
        <f t="shared" si="1"/>
        <v>45970</v>
      </c>
      <c r="Q21" s="17">
        <v>45899</v>
      </c>
      <c r="R21" s="18"/>
      <c r="S21" s="17">
        <f t="shared" si="2"/>
        <v>45786</v>
      </c>
      <c r="T21" s="17">
        <v>45589</v>
      </c>
      <c r="U21" s="17">
        <f t="shared" si="3"/>
        <v>45697</v>
      </c>
      <c r="V21" s="17">
        <v>45632</v>
      </c>
      <c r="W21" s="13" t="s">
        <v>108</v>
      </c>
      <c r="X21" s="17">
        <v>45945</v>
      </c>
      <c r="Y21" s="17"/>
      <c r="Z21" s="18"/>
      <c r="AA21" s="17">
        <v>46225</v>
      </c>
      <c r="AB21" s="17">
        <v>45947</v>
      </c>
      <c r="AC21" s="18" t="e">
        <f t="shared" si="7"/>
        <v>#VALUE!</v>
      </c>
      <c r="AD21" s="19" t="str">
        <f t="shared" si="4"/>
        <v>42/2025</v>
      </c>
      <c r="AE21" s="17" t="s">
        <v>75</v>
      </c>
      <c r="AF21" s="18" t="str">
        <f t="shared" si="5"/>
        <v>NA</v>
      </c>
      <c r="AG21" s="19" t="s">
        <v>75</v>
      </c>
      <c r="AH21" s="17"/>
      <c r="AI21" s="18" t="str">
        <f t="shared" si="6"/>
        <v>NA</v>
      </c>
      <c r="AJ21" s="17" t="s">
        <v>75</v>
      </c>
      <c r="AK21" s="17" t="s">
        <v>75</v>
      </c>
      <c r="AL21" s="17"/>
      <c r="AM21" s="17" t="s">
        <v>75</v>
      </c>
      <c r="AN21" s="17" t="s">
        <v>75</v>
      </c>
      <c r="AO21" s="17"/>
      <c r="AP21" s="17" t="s">
        <v>75</v>
      </c>
      <c r="AQ21" s="17" t="s">
        <v>75</v>
      </c>
      <c r="AR21" s="17" t="s">
        <v>75</v>
      </c>
      <c r="AS21" s="13" t="str">
        <f ca="1">IF(OR(S21=0, S21=""), "No F1 deadline to compare", IF(T21&gt;0, IF(T21&gt;S21, "Filed after " &amp; (T21-S21) &amp; " days of deadline", "Filed within deadline"), IF(TODAY()&gt;S21, "Delayed by " &amp; (TODAY()-S21) &amp; " days", (S21-TODAY()) &amp; " days left")))</f>
        <v>Filed within deadline</v>
      </c>
      <c r="AT21" s="21" t="str">
        <f ca="1">IF(OR(TRIM(U21)="", U21=0), "No F26 deadline to compare", IF(AND(TRIM(V21)&lt;&gt;"", ISNUMBER(V21)), IF(V21&gt;U21, "Filed after " &amp; (V21-U21) &amp; " days of deadline", "Filed within deadline"), IF(TODAY()&gt;U21, "Delayed by " &amp; (TODAY()-U21) &amp; " days", (U21-TODAY()) &amp; " days left")))</f>
        <v>Filed within deadline</v>
      </c>
      <c r="AU21" s="22"/>
      <c r="AV21" s="22"/>
      <c r="AW21" s="22"/>
      <c r="AX21" s="21"/>
      <c r="AY21" s="22"/>
      <c r="AZ21" s="22"/>
      <c r="BA21" s="22"/>
      <c r="BB21" s="21"/>
      <c r="BC21" s="21"/>
      <c r="BD21" s="21"/>
      <c r="BE21" s="21"/>
      <c r="BF21" s="21"/>
      <c r="BG21" s="21"/>
      <c r="BH21" s="13" t="str">
        <f>IF(AND(AP21&lt;&gt;"",ISNUMBER(AP21)),"Patent Refused",IF(AND(AN21&lt;&gt;"",ISNUMBER(AN21)),"Patent Granted",IF(AND(AM21&lt;&gt;"",ISNUMBER(AM21)),"WS Filed",IF(AND(AND(AK21&lt;&gt;"",ISNUMBER(AK21)),NOT(AND(AM21&lt;&gt;"",ISNUMBER(AM21)))),"Hearing Attended - WS Not Filed",IF(AND(AND(AJ21&lt;&gt;"",ISNUMBER(AJ21)),NOT(AND(AK21&lt;&gt;"",ISNUMBER(AK21)))),"Hearing Issued",IF(AND(AG21&lt;&gt;"",ISNUMBER(AG21)),"FER Reply Filed",IF(AND(AND(AE21&lt;&gt;"",ISNUMBER(AE21)),NOT(AND(AG21&lt;&gt;"",ISNUMBER(AG21)))),"FER Received - Reply Not Filed",IF(AND(AB21&lt;&gt;"",ISNUMBER(AB21)),"Published",IF(AND(AND(X21&lt;&gt;"",ISNUMBER(X21)),AND(AA21&lt;&gt;"",ISNUMBER(AA21))),"F9 &amp; F18 Filed",IF(AND(NOT(AND(X21&lt;&gt;"",ISNUMBER(X21))),AND(AA21&lt;&gt;"",ISNUMBER(AA21))),"F9 Not Filed - F18 Filed",IF(AND(AND(X21&lt;&gt;"",ISNUMBER(X21)),NOT(AND(AA21&lt;&gt;"",ISNUMBER(AA21)))),"F9 Filed - F18 Not Filed",IF(AND(NOT(AND(L21&lt;&gt;"",ISNUMBER(L21))),AND(Q21&lt;&gt;"",ISNUMBER(Q21)),NOT(AND(X21&lt;&gt;"",ISNUMBER(X21))),NOT(AND(AA21&lt;&gt;"",ISNUMBER(AA21)))),"Direct CS Filed - F9 &amp; F18 Not Filed",IF(AND(AND(L21&lt;&gt;"",ISNUMBER(L21)),AND(Q21&lt;&gt;"",ISNUMBER(Q21)),NOT(AND(X21&lt;&gt;"",ISNUMBER(X21))),NOT(AND(AA21&lt;&gt;"",ISNUMBER(AA21)))),"PS-CS Filed - F9 &amp; F18 Not Filed",IF(AND(AND(L21&lt;&gt;"",ISNUMBER(L21)),NOT(AND(Q21&lt;&gt;"",ISNUMBER(Q21)))),"PS Filed - CS Not Filed","Not Started"))))))))))))))</f>
        <v>Published</v>
      </c>
      <c r="BI21" s="23"/>
      <c r="BJ21" s="31"/>
      <c r="BK21" s="31"/>
    </row>
    <row r="22" spans="1:63" ht="360.75">
      <c r="A22" s="13" t="s">
        <v>140</v>
      </c>
      <c r="B22" s="14" t="s">
        <v>141</v>
      </c>
      <c r="C22" s="13" t="s">
        <v>96</v>
      </c>
      <c r="D22" s="13" t="s">
        <v>67</v>
      </c>
      <c r="E22" s="15" t="s">
        <v>336</v>
      </c>
      <c r="F22" s="13" t="s">
        <v>142</v>
      </c>
      <c r="G22" s="13" t="s">
        <v>337</v>
      </c>
      <c r="H22" s="13" t="s">
        <v>143</v>
      </c>
      <c r="I22" s="13" t="s">
        <v>144</v>
      </c>
      <c r="J22" s="13"/>
      <c r="K22" s="13">
        <v>202441075473</v>
      </c>
      <c r="L22" s="17"/>
      <c r="M22" s="18"/>
      <c r="N22" s="18"/>
      <c r="O22" s="18" t="str">
        <f t="shared" si="0"/>
        <v>PS Not yet filed</v>
      </c>
      <c r="P22" s="18" t="str">
        <f t="shared" si="1"/>
        <v/>
      </c>
      <c r="Q22" s="17">
        <v>45570</v>
      </c>
      <c r="R22" s="18"/>
      <c r="S22" s="17">
        <f t="shared" si="2"/>
        <v>45752</v>
      </c>
      <c r="T22" s="17">
        <v>45638</v>
      </c>
      <c r="U22" s="17">
        <f t="shared" si="3"/>
        <v>45662</v>
      </c>
      <c r="V22" s="17">
        <v>45632</v>
      </c>
      <c r="W22" s="13" t="s">
        <v>89</v>
      </c>
      <c r="X22" s="17">
        <v>45582</v>
      </c>
      <c r="Y22" s="17"/>
      <c r="Z22" s="18"/>
      <c r="AA22" s="13" t="s">
        <v>338</v>
      </c>
      <c r="AB22" s="17">
        <v>45583</v>
      </c>
      <c r="AC22" s="18" t="e">
        <f t="shared" si="7"/>
        <v>#VALUE!</v>
      </c>
      <c r="AD22" s="19" t="str">
        <f t="shared" si="4"/>
        <v>42/2024</v>
      </c>
      <c r="AE22" s="17" t="s">
        <v>75</v>
      </c>
      <c r="AF22" s="18" t="str">
        <f t="shared" si="5"/>
        <v>NA</v>
      </c>
      <c r="AG22" s="19" t="s">
        <v>75</v>
      </c>
      <c r="AH22" s="17"/>
      <c r="AI22" s="18" t="str">
        <f t="shared" si="6"/>
        <v>NA</v>
      </c>
      <c r="AJ22" s="17" t="s">
        <v>75</v>
      </c>
      <c r="AK22" s="17" t="s">
        <v>75</v>
      </c>
      <c r="AL22" s="17"/>
      <c r="AM22" s="17" t="s">
        <v>75</v>
      </c>
      <c r="AN22" s="17" t="s">
        <v>75</v>
      </c>
      <c r="AO22" s="17"/>
      <c r="AP22" s="17" t="s">
        <v>75</v>
      </c>
      <c r="AQ22" s="17" t="s">
        <v>75</v>
      </c>
      <c r="AR22" s="17" t="s">
        <v>75</v>
      </c>
      <c r="AS22" s="13" t="str">
        <f ca="1">IF(OR(S22=0, S22=""), "No F1 deadline to compare", IF(T22&gt;0, IF(T22&gt;S22, "Filed after " &amp; (T22-S22) &amp; " days of deadline", "Filed within deadline"), IF(TODAY()&gt;S22, "Delayed by " &amp; (TODAY()-S22) &amp; " days", (S22-TODAY()) &amp; " days left")))</f>
        <v>Filed within deadline</v>
      </c>
      <c r="AT22" s="21" t="str">
        <f ca="1">IF(OR(TRIM(U22)="", U22=0), "No F26 deadline to compare", IF(AND(TRIM(V22)&lt;&gt;"", ISNUMBER(V22)), IF(V22&gt;U22, "Filed after " &amp; (V22-U22) &amp; " days of deadline", "Filed within deadline"), IF(TODAY()&gt;U22, "Delayed by " &amp; (TODAY()-U22) &amp; " days", (U22-TODAY()) &amp; " days left")))</f>
        <v>Filed within deadline</v>
      </c>
      <c r="AU22" s="22"/>
      <c r="AV22" s="22"/>
      <c r="AW22" s="22"/>
      <c r="AX22" s="21"/>
      <c r="AY22" s="22"/>
      <c r="AZ22" s="22"/>
      <c r="BA22" s="22"/>
      <c r="BB22" s="21"/>
      <c r="BC22" s="21"/>
      <c r="BD22" s="21"/>
      <c r="BE22" s="21"/>
      <c r="BF22" s="21"/>
      <c r="BG22" s="21"/>
      <c r="BH22" s="13" t="str">
        <f>IF(AND(AP22&lt;&gt;"",ISNUMBER(AP22)),"Patent Refused",IF(AND(AN22&lt;&gt;"",ISNUMBER(AN22)),"Patent Granted",IF(AND(AM22&lt;&gt;"",ISNUMBER(AM22)),"WS Filed",IF(AND(AND(AK22&lt;&gt;"",ISNUMBER(AK22)),NOT(AND(AM22&lt;&gt;"",ISNUMBER(AM22)))),"Hearing Attended - WS Not Filed",IF(AND(AND(AJ22&lt;&gt;"",ISNUMBER(AJ22)),NOT(AND(AK22&lt;&gt;"",ISNUMBER(AK22)))),"Hearing Issued",IF(AND(AG22&lt;&gt;"",ISNUMBER(AG22)),"FER Reply Filed",IF(AND(AND(AE22&lt;&gt;"",ISNUMBER(AE22)),NOT(AND(AG22&lt;&gt;"",ISNUMBER(AG22)))),"FER Received - Reply Not Filed",IF(AND(AB22&lt;&gt;"",ISNUMBER(AB22)),"Published",IF(AND(AND(X22&lt;&gt;"",ISNUMBER(X22)),AND(AA22&lt;&gt;"",ISNUMBER(AA22))),"F9 &amp; F18 Filed",IF(AND(NOT(AND(X22&lt;&gt;"",ISNUMBER(X22))),AND(AA22&lt;&gt;"",ISNUMBER(AA22))),"F9 Not Filed - F18 Filed",IF(AND(AND(X22&lt;&gt;"",ISNUMBER(X22)),NOT(AND(AA22&lt;&gt;"",ISNUMBER(AA22)))),"F9 Filed - F18 Not Filed",IF(AND(NOT(AND(L22&lt;&gt;"",ISNUMBER(L22))),AND(Q22&lt;&gt;"",ISNUMBER(Q22)),NOT(AND(X22&lt;&gt;"",ISNUMBER(X22))),NOT(AND(AA22&lt;&gt;"",ISNUMBER(AA22)))),"Direct CS Filed - F9 &amp; F18 Not Filed",IF(AND(AND(L22&lt;&gt;"",ISNUMBER(L22)),AND(Q22&lt;&gt;"",ISNUMBER(Q22)),NOT(AND(X22&lt;&gt;"",ISNUMBER(X22))),NOT(AND(AA22&lt;&gt;"",ISNUMBER(AA22)))),"PS-CS Filed - F9 &amp; F18 Not Filed",IF(AND(AND(L22&lt;&gt;"",ISNUMBER(L22)),NOT(AND(Q22&lt;&gt;"",ISNUMBER(Q22)))),"PS Filed - CS Not Filed","Not Started"))))))))))))))</f>
        <v>Published</v>
      </c>
      <c r="BI22" s="23"/>
      <c r="BJ22" s="31"/>
      <c r="BK22" s="31"/>
    </row>
    <row r="23" spans="1:63" ht="333">
      <c r="A23" s="13" t="s">
        <v>157</v>
      </c>
      <c r="B23" s="14" t="s">
        <v>158</v>
      </c>
      <c r="C23" s="13" t="s">
        <v>65</v>
      </c>
      <c r="D23" s="13" t="s">
        <v>67</v>
      </c>
      <c r="E23" s="15" t="s">
        <v>339</v>
      </c>
      <c r="F23" s="13" t="s">
        <v>159</v>
      </c>
      <c r="G23" s="13" t="s">
        <v>337</v>
      </c>
      <c r="H23" s="13" t="s">
        <v>160</v>
      </c>
      <c r="I23" s="13" t="s">
        <v>144</v>
      </c>
      <c r="J23" s="13" t="s">
        <v>75</v>
      </c>
      <c r="K23" s="13">
        <v>202441081640</v>
      </c>
      <c r="L23" s="17"/>
      <c r="M23" s="18"/>
      <c r="N23" s="18"/>
      <c r="O23" s="18" t="str">
        <f t="shared" si="0"/>
        <v>PS Not yet filed</v>
      </c>
      <c r="P23" s="18" t="str">
        <f t="shared" si="1"/>
        <v/>
      </c>
      <c r="Q23" s="17">
        <v>45590</v>
      </c>
      <c r="R23" s="18"/>
      <c r="S23" s="17">
        <f t="shared" si="2"/>
        <v>45772</v>
      </c>
      <c r="T23" s="17">
        <v>45638</v>
      </c>
      <c r="U23" s="17">
        <f t="shared" si="3"/>
        <v>45682</v>
      </c>
      <c r="V23" s="17">
        <v>45632</v>
      </c>
      <c r="W23" s="13" t="s">
        <v>108</v>
      </c>
      <c r="X23" s="17">
        <v>45647</v>
      </c>
      <c r="Y23" s="17"/>
      <c r="Z23" s="18"/>
      <c r="AA23" s="13" t="s">
        <v>343</v>
      </c>
      <c r="AB23" s="17">
        <v>45653</v>
      </c>
      <c r="AC23" s="18" t="e">
        <f t="shared" si="7"/>
        <v>#VALUE!</v>
      </c>
      <c r="AD23" s="19" t="str">
        <f t="shared" si="4"/>
        <v>52/2024</v>
      </c>
      <c r="AE23" s="17" t="s">
        <v>75</v>
      </c>
      <c r="AF23" s="18" t="str">
        <f t="shared" si="5"/>
        <v>NA</v>
      </c>
      <c r="AG23" s="19" t="s">
        <v>75</v>
      </c>
      <c r="AH23" s="17"/>
      <c r="AI23" s="18" t="str">
        <f t="shared" si="6"/>
        <v>NA</v>
      </c>
      <c r="AJ23" s="17" t="s">
        <v>75</v>
      </c>
      <c r="AK23" s="17" t="s">
        <v>75</v>
      </c>
      <c r="AL23" s="17"/>
      <c r="AM23" s="17" t="s">
        <v>75</v>
      </c>
      <c r="AN23" s="17" t="s">
        <v>75</v>
      </c>
      <c r="AO23" s="17"/>
      <c r="AP23" s="17" t="s">
        <v>75</v>
      </c>
      <c r="AQ23" s="17" t="s">
        <v>75</v>
      </c>
      <c r="AR23" s="17" t="s">
        <v>75</v>
      </c>
      <c r="AS23" s="13" t="str">
        <f ca="1">IF(OR(S23=0, S23=""), "No F1 deadline to compare", IF(T23&gt;0, IF(T23&gt;S23, "Filed after " &amp; (T23-S23) &amp; " days of deadline", "Filed within deadline"), IF(TODAY()&gt;S23, "Delayed by " &amp; (TODAY()-S23) &amp; " days", (S23-TODAY()) &amp; " days left")))</f>
        <v>Filed within deadline</v>
      </c>
      <c r="AT23" s="21" t="str">
        <f ca="1">IF(OR(TRIM(U23)="", U23=0), "No F26 deadline to compare", IF(AND(TRIM(V23)&lt;&gt;"", ISNUMBER(V23)), IF(V23&gt;U23, "Filed after " &amp; (V23-U23) &amp; " days of deadline", "Filed within deadline"), IF(TODAY()&gt;U23, "Delayed by " &amp; (TODAY()-U23) &amp; " days", (U23-TODAY()) &amp; " days left")))</f>
        <v>Filed within deadline</v>
      </c>
      <c r="AU23" s="22"/>
      <c r="AV23" s="22"/>
      <c r="AW23" s="22"/>
      <c r="AX23" s="21"/>
      <c r="AY23" s="22"/>
      <c r="AZ23" s="22"/>
      <c r="BA23" s="22"/>
      <c r="BB23" s="21"/>
      <c r="BC23" s="21"/>
      <c r="BD23" s="21"/>
      <c r="BE23" s="21"/>
      <c r="BF23" s="21"/>
      <c r="BG23" s="21"/>
      <c r="BH23" s="13" t="str">
        <f>IF(AND(AP23&lt;&gt;"",ISNUMBER(AP23)),"Patent Refused",IF(AND(AN23&lt;&gt;"",ISNUMBER(AN23)),"Patent Granted",IF(AND(AM23&lt;&gt;"",ISNUMBER(AM23)),"WS Filed",IF(AND(AND(AK23&lt;&gt;"",ISNUMBER(AK23)),NOT(AND(AM23&lt;&gt;"",ISNUMBER(AM23)))),"Hearing Attended - WS Not Filed",IF(AND(AND(AJ23&lt;&gt;"",ISNUMBER(AJ23)),NOT(AND(AK23&lt;&gt;"",ISNUMBER(AK23)))),"Hearing Issued",IF(AND(AG23&lt;&gt;"",ISNUMBER(AG23)),"FER Reply Filed",IF(AND(AND(AE23&lt;&gt;"",ISNUMBER(AE23)),NOT(AND(AG23&lt;&gt;"",ISNUMBER(AG23)))),"FER Received - Reply Not Filed",IF(AND(AB23&lt;&gt;"",ISNUMBER(AB23)),"Published",IF(AND(AND(X23&lt;&gt;"",ISNUMBER(X23)),AND(AA23&lt;&gt;"",ISNUMBER(AA23))),"F9 &amp; F18 Filed",IF(AND(NOT(AND(X23&lt;&gt;"",ISNUMBER(X23))),AND(AA23&lt;&gt;"",ISNUMBER(AA23))),"F9 Not Filed - F18 Filed",IF(AND(AND(X23&lt;&gt;"",ISNUMBER(X23)),NOT(AND(AA23&lt;&gt;"",ISNUMBER(AA23)))),"F9 Filed - F18 Not Filed",IF(AND(NOT(AND(L23&lt;&gt;"",ISNUMBER(L23))),AND(Q23&lt;&gt;"",ISNUMBER(Q23)),NOT(AND(X23&lt;&gt;"",ISNUMBER(X23))),NOT(AND(AA23&lt;&gt;"",ISNUMBER(AA23)))),"Direct CS Filed - F9 &amp; F18 Not Filed",IF(AND(AND(L23&lt;&gt;"",ISNUMBER(L23)),AND(Q23&lt;&gt;"",ISNUMBER(Q23)),NOT(AND(X23&lt;&gt;"",ISNUMBER(X23))),NOT(AND(AA23&lt;&gt;"",ISNUMBER(AA23)))),"PS-CS Filed - F9 &amp; F18 Not Filed",IF(AND(AND(L23&lt;&gt;"",ISNUMBER(L23)),NOT(AND(Q23&lt;&gt;"",ISNUMBER(Q23)))),"PS Filed - CS Not Filed","Not Started"))))))))))))))</f>
        <v>Published</v>
      </c>
      <c r="BI23" s="23"/>
      <c r="BJ23" s="31"/>
      <c r="BK23" s="31"/>
    </row>
    <row r="24" spans="1:63" ht="333">
      <c r="A24" s="13" t="s">
        <v>167</v>
      </c>
      <c r="B24" s="14" t="s">
        <v>168</v>
      </c>
      <c r="C24" s="13" t="s">
        <v>81</v>
      </c>
      <c r="D24" s="13" t="s">
        <v>169</v>
      </c>
      <c r="E24" s="15" t="s">
        <v>336</v>
      </c>
      <c r="F24" s="13" t="s">
        <v>170</v>
      </c>
      <c r="G24" s="13" t="s">
        <v>337</v>
      </c>
      <c r="H24" s="13" t="s">
        <v>160</v>
      </c>
      <c r="I24" s="13" t="s">
        <v>144</v>
      </c>
      <c r="J24" s="13" t="s">
        <v>75</v>
      </c>
      <c r="K24" s="13">
        <v>202441081639</v>
      </c>
      <c r="L24" s="17"/>
      <c r="M24" s="18"/>
      <c r="N24" s="18"/>
      <c r="O24" s="18" t="str">
        <f t="shared" si="0"/>
        <v>PS Not yet filed</v>
      </c>
      <c r="P24" s="18" t="str">
        <f t="shared" si="1"/>
        <v/>
      </c>
      <c r="Q24" s="17">
        <v>45590</v>
      </c>
      <c r="R24" s="18"/>
      <c r="S24" s="17">
        <f t="shared" si="2"/>
        <v>45772</v>
      </c>
      <c r="T24" s="17">
        <v>45638</v>
      </c>
      <c r="U24" s="17">
        <f t="shared" si="3"/>
        <v>45682</v>
      </c>
      <c r="V24" s="17">
        <v>45632</v>
      </c>
      <c r="W24" s="13" t="s">
        <v>108</v>
      </c>
      <c r="X24" s="17">
        <v>45644</v>
      </c>
      <c r="Y24" s="17"/>
      <c r="Z24" s="18"/>
      <c r="AA24" s="13" t="s">
        <v>346</v>
      </c>
      <c r="AB24" s="17">
        <v>45646</v>
      </c>
      <c r="AC24" s="18" t="e">
        <f t="shared" si="7"/>
        <v>#VALUE!</v>
      </c>
      <c r="AD24" s="19" t="str">
        <f t="shared" si="4"/>
        <v>51/2024</v>
      </c>
      <c r="AE24" s="17" t="s">
        <v>75</v>
      </c>
      <c r="AF24" s="18" t="str">
        <f t="shared" si="5"/>
        <v>NA</v>
      </c>
      <c r="AG24" s="19" t="s">
        <v>75</v>
      </c>
      <c r="AH24" s="17"/>
      <c r="AI24" s="18" t="str">
        <f t="shared" si="6"/>
        <v>NA</v>
      </c>
      <c r="AJ24" s="17" t="s">
        <v>75</v>
      </c>
      <c r="AK24" s="17" t="s">
        <v>75</v>
      </c>
      <c r="AL24" s="17"/>
      <c r="AM24" s="17" t="s">
        <v>75</v>
      </c>
      <c r="AN24" s="17" t="s">
        <v>75</v>
      </c>
      <c r="AO24" s="17"/>
      <c r="AP24" s="17" t="s">
        <v>75</v>
      </c>
      <c r="AQ24" s="17" t="s">
        <v>75</v>
      </c>
      <c r="AR24" s="17" t="s">
        <v>75</v>
      </c>
      <c r="AS24" s="13" t="str">
        <f ca="1">IF(OR(S24=0, S24=""), "No F1 deadline to compare", IF(T24&gt;0, IF(T24&gt;S24, "Filed after " &amp; (T24-S24) &amp; " days of deadline", "Filed within deadline"), IF(TODAY()&gt;S24, "Delayed by " &amp; (TODAY()-S24) &amp; " days", (S24-TODAY()) &amp; " days left")))</f>
        <v>Filed within deadline</v>
      </c>
      <c r="AT24" s="21" t="str">
        <f ca="1">IF(OR(TRIM(U24)="", U24=0), "No F26 deadline to compare", IF(AND(TRIM(V24)&lt;&gt;"", ISNUMBER(V24)), IF(V24&gt;U24, "Filed after " &amp; (V24-U24) &amp; " days of deadline", "Filed within deadline"), IF(TODAY()&gt;U24, "Delayed by " &amp; (TODAY()-U24) &amp; " days", (U24-TODAY()) &amp; " days left")))</f>
        <v>Filed within deadline</v>
      </c>
      <c r="AU24" s="22"/>
      <c r="AV24" s="22"/>
      <c r="AW24" s="22"/>
      <c r="AX24" s="21"/>
      <c r="AY24" s="22"/>
      <c r="AZ24" s="22"/>
      <c r="BA24" s="22"/>
      <c r="BB24" s="21"/>
      <c r="BC24" s="21"/>
      <c r="BD24" s="21"/>
      <c r="BE24" s="21"/>
      <c r="BF24" s="21"/>
      <c r="BG24" s="21"/>
      <c r="BH24" s="13" t="str">
        <f>IF(AND(AP24&lt;&gt;"",ISNUMBER(AP24)),"Patent Refused",IF(AND(AN24&lt;&gt;"",ISNUMBER(AN24)),"Patent Granted",IF(AND(AM24&lt;&gt;"",ISNUMBER(AM24)),"WS Filed",IF(AND(AND(AK24&lt;&gt;"",ISNUMBER(AK24)),NOT(AND(AM24&lt;&gt;"",ISNUMBER(AM24)))),"Hearing Attended - WS Not Filed",IF(AND(AND(AJ24&lt;&gt;"",ISNUMBER(AJ24)),NOT(AND(AK24&lt;&gt;"",ISNUMBER(AK24)))),"Hearing Issued",IF(AND(AG24&lt;&gt;"",ISNUMBER(AG24)),"FER Reply Filed",IF(AND(AND(AE24&lt;&gt;"",ISNUMBER(AE24)),NOT(AND(AG24&lt;&gt;"",ISNUMBER(AG24)))),"FER Received - Reply Not Filed",IF(AND(AB24&lt;&gt;"",ISNUMBER(AB24)),"Published",IF(AND(AND(X24&lt;&gt;"",ISNUMBER(X24)),AND(AA24&lt;&gt;"",ISNUMBER(AA24))),"F9 &amp; F18 Filed",IF(AND(NOT(AND(X24&lt;&gt;"",ISNUMBER(X24))),AND(AA24&lt;&gt;"",ISNUMBER(AA24))),"F9 Not Filed - F18 Filed",IF(AND(AND(X24&lt;&gt;"",ISNUMBER(X24)),NOT(AND(AA24&lt;&gt;"",ISNUMBER(AA24)))),"F9 Filed - F18 Not Filed",IF(AND(NOT(AND(L24&lt;&gt;"",ISNUMBER(L24))),AND(Q24&lt;&gt;"",ISNUMBER(Q24)),NOT(AND(X24&lt;&gt;"",ISNUMBER(X24))),NOT(AND(AA24&lt;&gt;"",ISNUMBER(AA24)))),"Direct CS Filed - F9 &amp; F18 Not Filed",IF(AND(AND(L24&lt;&gt;"",ISNUMBER(L24)),AND(Q24&lt;&gt;"",ISNUMBER(Q24)),NOT(AND(X24&lt;&gt;"",ISNUMBER(X24))),NOT(AND(AA24&lt;&gt;"",ISNUMBER(AA24)))),"PS-CS Filed - F9 &amp; F18 Not Filed",IF(AND(AND(L24&lt;&gt;"",ISNUMBER(L24)),NOT(AND(Q24&lt;&gt;"",ISNUMBER(Q24)))),"PS Filed - CS Not Filed","Not Started"))))))))))))))</f>
        <v>Published</v>
      </c>
      <c r="BI24" s="23"/>
      <c r="BJ24" s="31"/>
      <c r="BK24" s="31"/>
    </row>
    <row r="25" spans="1:63" ht="277.5">
      <c r="A25" s="13" t="s">
        <v>178</v>
      </c>
      <c r="B25" s="14" t="s">
        <v>179</v>
      </c>
      <c r="C25" s="13" t="s">
        <v>96</v>
      </c>
      <c r="D25" s="13" t="s">
        <v>67</v>
      </c>
      <c r="E25" s="15" t="s">
        <v>352</v>
      </c>
      <c r="F25" s="13" t="s">
        <v>180</v>
      </c>
      <c r="G25" s="13" t="s">
        <v>353</v>
      </c>
      <c r="H25" s="13" t="s">
        <v>181</v>
      </c>
      <c r="I25" s="13" t="s">
        <v>182</v>
      </c>
      <c r="J25" s="13"/>
      <c r="K25" s="13">
        <v>202441064111</v>
      </c>
      <c r="L25" s="17"/>
      <c r="M25" s="18"/>
      <c r="N25" s="18"/>
      <c r="O25" s="18" t="str">
        <f t="shared" si="0"/>
        <v>PS Not yet filed</v>
      </c>
      <c r="P25" s="18" t="str">
        <f t="shared" si="1"/>
        <v/>
      </c>
      <c r="Q25" s="17">
        <v>45529</v>
      </c>
      <c r="R25" s="18"/>
      <c r="S25" s="17">
        <f t="shared" si="2"/>
        <v>45713</v>
      </c>
      <c r="T25" s="17">
        <v>45598</v>
      </c>
      <c r="U25" s="17">
        <f t="shared" si="3"/>
        <v>45621</v>
      </c>
      <c r="V25" s="17">
        <v>45632</v>
      </c>
      <c r="W25" s="13" t="s">
        <v>89</v>
      </c>
      <c r="X25" s="17">
        <v>45582</v>
      </c>
      <c r="Y25" s="17"/>
      <c r="Z25" s="18"/>
      <c r="AA25" s="17">
        <v>45582</v>
      </c>
      <c r="AB25" s="17">
        <v>45583</v>
      </c>
      <c r="AC25" s="18" t="e">
        <f t="shared" si="7"/>
        <v>#VALUE!</v>
      </c>
      <c r="AD25" s="19" t="str">
        <f t="shared" si="4"/>
        <v>42/2024</v>
      </c>
      <c r="AE25" s="17">
        <v>46238</v>
      </c>
      <c r="AF25" s="18">
        <f t="shared" si="5"/>
        <v>46422</v>
      </c>
      <c r="AG25" s="19" t="s">
        <v>75</v>
      </c>
      <c r="AH25" s="17">
        <v>46258</v>
      </c>
      <c r="AI25" s="18">
        <f t="shared" si="6"/>
        <v>46330</v>
      </c>
      <c r="AJ25" s="17" t="s">
        <v>75</v>
      </c>
      <c r="AK25" s="17" t="s">
        <v>75</v>
      </c>
      <c r="AL25" s="17"/>
      <c r="AM25" s="17" t="s">
        <v>75</v>
      </c>
      <c r="AN25" s="17" t="s">
        <v>75</v>
      </c>
      <c r="AO25" s="17"/>
      <c r="AP25" s="17" t="s">
        <v>75</v>
      </c>
      <c r="AQ25" s="17" t="s">
        <v>75</v>
      </c>
      <c r="AR25" s="17" t="s">
        <v>75</v>
      </c>
      <c r="AS25" s="13" t="str">
        <f ca="1">IF(OR(S25=0, S25=""), "No F1 deadline to compare", IF(T25&gt;0, IF(T25&gt;S25, "Filed after " &amp; (T25-S25) &amp; " days of deadline", "Filed within deadline"), IF(TODAY()&gt;S25, "Delayed by " &amp; (TODAY()-S25) &amp; " days", (S25-TODAY()) &amp; " days left")))</f>
        <v>Filed within deadline</v>
      </c>
      <c r="AT25" s="21" t="str">
        <f ca="1">IF(OR(TRIM(U25)="", U25=0), "No F26 deadline to compare", IF(AND(TRIM(V25)&lt;&gt;"", ISNUMBER(V25)), IF(V25&gt;U25, "Filed after " &amp; (V25-U25) &amp; " days of deadline", "Filed within deadline"), IF(TODAY()&gt;U25, "Delayed by " &amp; (TODAY()-U25) &amp; " days", (U25-TODAY()) &amp; " days left")))</f>
        <v>Filed after 11 days of deadline</v>
      </c>
      <c r="AU25" s="22"/>
      <c r="AV25" s="22"/>
      <c r="AW25" s="22"/>
      <c r="AX25" s="21"/>
      <c r="AY25" s="22"/>
      <c r="AZ25" s="22"/>
      <c r="BA25" s="22"/>
      <c r="BB25" s="21"/>
      <c r="BC25" s="21"/>
      <c r="BD25" s="21"/>
      <c r="BE25" s="21"/>
      <c r="BF25" s="21"/>
      <c r="BG25" s="21"/>
      <c r="BH25" s="13" t="str">
        <f>IF(AND(AP25&lt;&gt;"",ISNUMBER(AP25)),"Patent Refused",IF(AND(AN25&lt;&gt;"",ISNUMBER(AN25)),"Patent Granted",IF(AND(AM25&lt;&gt;"",ISNUMBER(AM25)),"WS Filed",IF(AND(AND(AK25&lt;&gt;"",ISNUMBER(AK25)),NOT(AND(AM25&lt;&gt;"",ISNUMBER(AM25)))),"Hearing Attended - WS Not Filed",IF(AND(AND(AJ25&lt;&gt;"",ISNUMBER(AJ25)),NOT(AND(AK25&lt;&gt;"",ISNUMBER(AK25)))),"Hearing Issued",IF(AND(AG25&lt;&gt;"",ISNUMBER(AG25)),"FER Reply Filed",IF(AND(AND(AE25&lt;&gt;"",ISNUMBER(AE25)),NOT(AND(AG25&lt;&gt;"",ISNUMBER(AG25)))),"FER Received - Reply Not Filed",IF(AND(AB25&lt;&gt;"",ISNUMBER(AB25)),"Published",IF(AND(AND(X25&lt;&gt;"",ISNUMBER(X25)),AND(AA25&lt;&gt;"",ISNUMBER(AA25))),"F9 &amp; F18 Filed",IF(AND(NOT(AND(X25&lt;&gt;"",ISNUMBER(X25))),AND(AA25&lt;&gt;"",ISNUMBER(AA25))),"F9 Not Filed - F18 Filed",IF(AND(AND(X25&lt;&gt;"",ISNUMBER(X25)),NOT(AND(AA25&lt;&gt;"",ISNUMBER(AA25)))),"F9 Filed - F18 Not Filed",IF(AND(NOT(AND(L25&lt;&gt;"",ISNUMBER(L25))),AND(Q25&lt;&gt;"",ISNUMBER(Q25)),NOT(AND(X25&lt;&gt;"",ISNUMBER(X25))),NOT(AND(AA25&lt;&gt;"",ISNUMBER(AA25)))),"Direct CS Filed - F9 &amp; F18 Not Filed",IF(AND(AND(L25&lt;&gt;"",ISNUMBER(L25)),AND(Q25&lt;&gt;"",ISNUMBER(Q25)),NOT(AND(X25&lt;&gt;"",ISNUMBER(X25))),NOT(AND(AA25&lt;&gt;"",ISNUMBER(AA25)))),"PS-CS Filed - F9 &amp; F18 Not Filed",IF(AND(AND(L25&lt;&gt;"",ISNUMBER(L25)),NOT(AND(Q25&lt;&gt;"",ISNUMBER(Q25)))),"PS Filed - CS Not Filed","Not Started"))))))))))))))</f>
        <v>FER Received - Reply Not Filed</v>
      </c>
      <c r="BI25" s="23"/>
      <c r="BJ25" s="31"/>
      <c r="BK25" s="31"/>
    </row>
    <row r="26" spans="1:63" ht="402.4">
      <c r="A26" s="33" t="s">
        <v>198</v>
      </c>
      <c r="B26" s="14" t="s">
        <v>199</v>
      </c>
      <c r="C26" s="13" t="s">
        <v>96</v>
      </c>
      <c r="D26" s="13" t="s">
        <v>67</v>
      </c>
      <c r="E26" s="15" t="s">
        <v>357</v>
      </c>
      <c r="F26" s="13" t="s">
        <v>200</v>
      </c>
      <c r="G26" s="13" t="s">
        <v>337</v>
      </c>
      <c r="H26" s="13" t="s">
        <v>201</v>
      </c>
      <c r="I26" s="13" t="s">
        <v>202</v>
      </c>
      <c r="J26" s="13" t="s">
        <v>75</v>
      </c>
      <c r="K26" s="13">
        <v>202441066437</v>
      </c>
      <c r="L26" s="17">
        <v>45537</v>
      </c>
      <c r="M26" s="18"/>
      <c r="N26" s="13" t="s">
        <v>84</v>
      </c>
      <c r="O26" s="18" t="str">
        <f t="shared" si="0"/>
        <v>Not yet Postdated</v>
      </c>
      <c r="P26" s="18">
        <f t="shared" si="1"/>
        <v>45902</v>
      </c>
      <c r="Q26" s="17"/>
      <c r="R26" s="18"/>
      <c r="S26" s="17">
        <f t="shared" si="2"/>
        <v>45718</v>
      </c>
      <c r="T26" s="17">
        <v>45605</v>
      </c>
      <c r="U26" s="17">
        <f t="shared" si="3"/>
        <v>45628</v>
      </c>
      <c r="V26" s="17">
        <v>45632</v>
      </c>
      <c r="W26" s="13" t="s">
        <v>89</v>
      </c>
      <c r="X26" s="17" t="s">
        <v>166</v>
      </c>
      <c r="Y26" s="17"/>
      <c r="Z26" s="18"/>
      <c r="AA26" s="17" t="s">
        <v>166</v>
      </c>
      <c r="AB26" s="17" t="s">
        <v>75</v>
      </c>
      <c r="AC26" s="18" t="e">
        <f t="shared" si="7"/>
        <v>#VALUE!</v>
      </c>
      <c r="AD26" s="19" t="str">
        <f t="shared" si="4"/>
        <v>NA</v>
      </c>
      <c r="AE26" s="17" t="s">
        <v>75</v>
      </c>
      <c r="AF26" s="18" t="str">
        <f t="shared" si="5"/>
        <v>NA</v>
      </c>
      <c r="AG26" s="19" t="s">
        <v>75</v>
      </c>
      <c r="AH26" s="17"/>
      <c r="AI26" s="18" t="str">
        <f t="shared" si="6"/>
        <v>NA</v>
      </c>
      <c r="AJ26" s="17" t="s">
        <v>75</v>
      </c>
      <c r="AK26" s="17" t="s">
        <v>75</v>
      </c>
      <c r="AL26" s="17"/>
      <c r="AM26" s="17" t="s">
        <v>75</v>
      </c>
      <c r="AN26" s="17" t="s">
        <v>75</v>
      </c>
      <c r="AO26" s="17"/>
      <c r="AP26" s="17" t="s">
        <v>75</v>
      </c>
      <c r="AQ26" s="17" t="s">
        <v>75</v>
      </c>
      <c r="AR26" s="17" t="s">
        <v>75</v>
      </c>
      <c r="AS26" s="13" t="str">
        <f ca="1">IF(OR(S26=0, S26=""), "No F1 deadline to compare", IF(T26&gt;0, IF(T26&gt;S26, "Filed after " &amp; (T26-S26) &amp; " days of deadline", "Filed within deadline"), IF(TODAY()&gt;S26, "Delayed by " &amp; (TODAY()-S26) &amp; " days", (S26-TODAY()) &amp; " days left")))</f>
        <v>Filed within deadline</v>
      </c>
      <c r="AT26" s="21" t="str">
        <f ca="1">IF(OR(TRIM(U26)="", U26=0), "No F26 deadline to compare", IF(AND(TRIM(V26)&lt;&gt;"", ISNUMBER(V26)), IF(V26&gt;U26, "Filed after " &amp; (V26-U26) &amp; " days of deadline", "Filed within deadline"), IF(TODAY()&gt;U26, "Delayed by " &amp; (TODAY()-U26) &amp; " days", (U26-TODAY()) &amp; " days left")))</f>
        <v>Filed after 4 days of deadline</v>
      </c>
      <c r="AU26" s="22"/>
      <c r="AV26" s="22"/>
      <c r="AW26" s="22"/>
      <c r="AX26" s="21"/>
      <c r="AY26" s="22"/>
      <c r="AZ26" s="22"/>
      <c r="BA26" s="22"/>
      <c r="BB26" s="21"/>
      <c r="BC26" s="21"/>
      <c r="BD26" s="21"/>
      <c r="BE26" s="21"/>
      <c r="BF26" s="21"/>
      <c r="BG26" s="21"/>
      <c r="BH26" s="13" t="str">
        <f>IF(AND(AP26&lt;&gt;"",ISNUMBER(AP26)),"Patent Refused",IF(AND(AN26&lt;&gt;"",ISNUMBER(AN26)),"Patent Granted",IF(AND(AM26&lt;&gt;"",ISNUMBER(AM26)),"WS Filed",IF(AND(AND(AK26&lt;&gt;"",ISNUMBER(AK26)),NOT(AND(AM26&lt;&gt;"",ISNUMBER(AM26)))),"Hearing Attended - WS Not Filed",IF(AND(AND(AJ26&lt;&gt;"",ISNUMBER(AJ26)),NOT(AND(AK26&lt;&gt;"",ISNUMBER(AK26)))),"Hearing Issued",IF(AND(AG26&lt;&gt;"",ISNUMBER(AG26)),"FER Reply Filed",IF(AND(AND(AE26&lt;&gt;"",ISNUMBER(AE26)),NOT(AND(AG26&lt;&gt;"",ISNUMBER(AG26)))),"FER Received - Reply Not Filed",IF(AND(AB26&lt;&gt;"",ISNUMBER(AB26)),"Published",IF(AND(AND(X26&lt;&gt;"",ISNUMBER(X26)),AND(AA26&lt;&gt;"",ISNUMBER(AA26))),"F9 &amp; F18 Filed",IF(AND(NOT(AND(X26&lt;&gt;"",ISNUMBER(X26))),AND(AA26&lt;&gt;"",ISNUMBER(AA26))),"F9 Not Filed - F18 Filed",IF(AND(AND(X26&lt;&gt;"",ISNUMBER(X26)),NOT(AND(AA26&lt;&gt;"",ISNUMBER(AA26)))),"F9 Filed - F18 Not Filed",IF(AND(NOT(AND(L26&lt;&gt;"",ISNUMBER(L26))),AND(Q26&lt;&gt;"",ISNUMBER(Q26)),NOT(AND(X26&lt;&gt;"",ISNUMBER(X26))),NOT(AND(AA26&lt;&gt;"",ISNUMBER(AA26)))),"Direct CS Filed - F9 &amp; F18 Not Filed",IF(AND(AND(L26&lt;&gt;"",ISNUMBER(L26)),AND(Q26&lt;&gt;"",ISNUMBER(Q26)),NOT(AND(X26&lt;&gt;"",ISNUMBER(X26))),NOT(AND(AA26&lt;&gt;"",ISNUMBER(AA26)))),"PS-CS Filed - F9 &amp; F18 Not Filed",IF(AND(AND(L26&lt;&gt;"",ISNUMBER(L26)),NOT(AND(Q26&lt;&gt;"",ISNUMBER(Q26)))),"PS Filed - CS Not Filed","Not Started"))))))))))))))</f>
        <v>PS Filed - CS Not Filed</v>
      </c>
      <c r="BI26" s="23"/>
      <c r="BJ26" s="31"/>
      <c r="BK26" s="31"/>
    </row>
    <row r="27" spans="1:63" ht="235.9">
      <c r="A27" s="33" t="s">
        <v>361</v>
      </c>
      <c r="B27" s="14" t="s">
        <v>362</v>
      </c>
      <c r="C27" s="13" t="s">
        <v>81</v>
      </c>
      <c r="D27" s="13" t="s">
        <v>67</v>
      </c>
      <c r="E27" s="15" t="s">
        <v>363</v>
      </c>
      <c r="F27" s="13" t="s">
        <v>364</v>
      </c>
      <c r="G27" s="13" t="s">
        <v>124</v>
      </c>
      <c r="H27" s="13" t="s">
        <v>365</v>
      </c>
      <c r="I27" s="13" t="s">
        <v>327</v>
      </c>
      <c r="J27" s="13" t="s">
        <v>75</v>
      </c>
      <c r="K27" s="13">
        <v>202441088661</v>
      </c>
      <c r="L27" s="17">
        <v>45612</v>
      </c>
      <c r="M27" s="18">
        <v>45793</v>
      </c>
      <c r="N27" s="18"/>
      <c r="O27" s="18" t="str">
        <f t="shared" si="0"/>
        <v>0 months left (0 days)</v>
      </c>
      <c r="P27" s="18">
        <f t="shared" si="1"/>
        <v>46158</v>
      </c>
      <c r="Q27" s="17" t="s">
        <v>151</v>
      </c>
      <c r="R27" s="18"/>
      <c r="S27" s="17">
        <f t="shared" si="2"/>
        <v>45977</v>
      </c>
      <c r="T27" s="17">
        <v>45630</v>
      </c>
      <c r="U27" s="17">
        <f t="shared" si="3"/>
        <v>45885</v>
      </c>
      <c r="V27" s="17">
        <v>45632</v>
      </c>
      <c r="W27" s="13" t="s">
        <v>108</v>
      </c>
      <c r="X27" s="17" t="s">
        <v>75</v>
      </c>
      <c r="Y27" s="17"/>
      <c r="Z27" s="18"/>
      <c r="AA27" s="17" t="s">
        <v>75</v>
      </c>
      <c r="AB27" s="17" t="s">
        <v>75</v>
      </c>
      <c r="AC27" s="18" t="e">
        <f t="shared" si="7"/>
        <v>#VALUE!</v>
      </c>
      <c r="AD27" s="19" t="str">
        <f t="shared" si="4"/>
        <v>NA</v>
      </c>
      <c r="AE27" s="17" t="s">
        <v>75</v>
      </c>
      <c r="AF27" s="18" t="str">
        <f t="shared" si="5"/>
        <v>NA</v>
      </c>
      <c r="AG27" s="19" t="s">
        <v>75</v>
      </c>
      <c r="AH27" s="17"/>
      <c r="AI27" s="18" t="str">
        <f t="shared" si="6"/>
        <v>NA</v>
      </c>
      <c r="AJ27" s="17" t="s">
        <v>75</v>
      </c>
      <c r="AK27" s="17" t="s">
        <v>75</v>
      </c>
      <c r="AL27" s="17"/>
      <c r="AM27" s="17" t="s">
        <v>75</v>
      </c>
      <c r="AN27" s="17" t="s">
        <v>75</v>
      </c>
      <c r="AO27" s="17"/>
      <c r="AP27" s="17" t="s">
        <v>75</v>
      </c>
      <c r="AQ27" s="17" t="s">
        <v>75</v>
      </c>
      <c r="AR27" s="17" t="s">
        <v>75</v>
      </c>
      <c r="AS27" s="13" t="str">
        <f ca="1">IF(OR(S27=0, S27=""), "No F1 deadline to compare", IF(T27&gt;0, IF(T27&gt;S27, "Filed after " &amp; (T27-S27) &amp; " days of deadline", "Filed within deadline"), IF(TODAY()&gt;S27, "Delayed by " &amp; (TODAY()-S27) &amp; " days", (S27-TODAY()) &amp; " days left")))</f>
        <v>Filed within deadline</v>
      </c>
      <c r="AT27" s="21" t="str">
        <f ca="1">IF(OR(TRIM(U27)="", U27=0), "No F26 deadline to compare", IF(AND(TRIM(V27)&lt;&gt;"", ISNUMBER(V27)), IF(V27&gt;U27, "Filed after " &amp; (V27-U27) &amp; " days of deadline", "Filed within deadline"), IF(TODAY()&gt;U27, "Delayed by " &amp; (TODAY()-U27) &amp; " days", (U27-TODAY()) &amp; " days left")))</f>
        <v>Filed within deadline</v>
      </c>
      <c r="AU27" s="22"/>
      <c r="AV27" s="22"/>
      <c r="AW27" s="22"/>
      <c r="AX27" s="21"/>
      <c r="AY27" s="22"/>
      <c r="AZ27" s="22"/>
      <c r="BA27" s="22"/>
      <c r="BB27" s="21"/>
      <c r="BC27" s="21"/>
      <c r="BD27" s="21"/>
      <c r="BE27" s="21"/>
      <c r="BF27" s="21"/>
      <c r="BG27" s="21"/>
      <c r="BH27" s="13" t="str">
        <f>IF(AND(AP27&lt;&gt;"",ISNUMBER(AP27)),"Patent Refused",IF(AND(AN27&lt;&gt;"",ISNUMBER(AN27)),"Patent Granted",IF(AND(AM27&lt;&gt;"",ISNUMBER(AM27)),"WS Filed",IF(AND(AND(AK27&lt;&gt;"",ISNUMBER(AK27)),NOT(AND(AM27&lt;&gt;"",ISNUMBER(AM27)))),"Hearing Attended - WS Not Filed",IF(AND(AND(AJ27&lt;&gt;"",ISNUMBER(AJ27)),NOT(AND(AK27&lt;&gt;"",ISNUMBER(AK27)))),"Hearing Issued",IF(AND(AG27&lt;&gt;"",ISNUMBER(AG27)),"FER Reply Filed",IF(AND(AND(AE27&lt;&gt;"",ISNUMBER(AE27)),NOT(AND(AG27&lt;&gt;"",ISNUMBER(AG27)))),"FER Received - Reply Not Filed",IF(AND(AB27&lt;&gt;"",ISNUMBER(AB27)),"Published",IF(AND(AND(X27&lt;&gt;"",ISNUMBER(X27)),AND(AA27&lt;&gt;"",ISNUMBER(AA27))),"F9 &amp; F18 Filed",IF(AND(NOT(AND(X27&lt;&gt;"",ISNUMBER(X27))),AND(AA27&lt;&gt;"",ISNUMBER(AA27))),"F9 Not Filed - F18 Filed",IF(AND(AND(X27&lt;&gt;"",ISNUMBER(X27)),NOT(AND(AA27&lt;&gt;"",ISNUMBER(AA27)))),"F9 Filed - F18 Not Filed",IF(AND(NOT(AND(L27&lt;&gt;"",ISNUMBER(L27))),AND(Q27&lt;&gt;"",ISNUMBER(Q27)),NOT(AND(X27&lt;&gt;"",ISNUMBER(X27))),NOT(AND(AA27&lt;&gt;"",ISNUMBER(AA27)))),"Direct CS Filed - F9 &amp; F18 Not Filed",IF(AND(AND(L27&lt;&gt;"",ISNUMBER(L27)),AND(Q27&lt;&gt;"",ISNUMBER(Q27)),NOT(AND(X27&lt;&gt;"",ISNUMBER(X27))),NOT(AND(AA27&lt;&gt;"",ISNUMBER(AA27)))),"PS-CS Filed - F9 &amp; F18 Not Filed",IF(AND(AND(L27&lt;&gt;"",ISNUMBER(L27)),NOT(AND(Q27&lt;&gt;"",ISNUMBER(Q27)))),"PS Filed - CS Not Filed","Not Started"))))))))))))))</f>
        <v>PS Filed - CS Not Filed</v>
      </c>
      <c r="BI27" s="23"/>
      <c r="BJ27" s="31"/>
      <c r="BK27" s="31"/>
    </row>
    <row r="28" spans="1:63" ht="291.39999999999998">
      <c r="A28" s="13" t="s">
        <v>216</v>
      </c>
      <c r="B28" s="14" t="s">
        <v>217</v>
      </c>
      <c r="C28" s="13" t="s">
        <v>96</v>
      </c>
      <c r="D28" s="13" t="s">
        <v>67</v>
      </c>
      <c r="E28" s="15" t="s">
        <v>372</v>
      </c>
      <c r="F28" s="13" t="s">
        <v>218</v>
      </c>
      <c r="G28" s="13" t="s">
        <v>373</v>
      </c>
      <c r="H28" s="13" t="s">
        <v>219</v>
      </c>
      <c r="I28" s="13" t="s">
        <v>220</v>
      </c>
      <c r="J28" s="13" t="s">
        <v>75</v>
      </c>
      <c r="K28" s="13">
        <v>202441061994</v>
      </c>
      <c r="L28" s="17">
        <v>45518</v>
      </c>
      <c r="M28" s="18"/>
      <c r="N28" s="18"/>
      <c r="O28" s="18" t="str">
        <f t="shared" si="0"/>
        <v>Not yet Postdated</v>
      </c>
      <c r="P28" s="18">
        <f t="shared" si="1"/>
        <v>45883</v>
      </c>
      <c r="Q28" s="17">
        <v>45883</v>
      </c>
      <c r="R28" s="18"/>
      <c r="S28" s="17">
        <f t="shared" si="2"/>
        <v>45702</v>
      </c>
      <c r="T28" s="17">
        <v>45650</v>
      </c>
      <c r="U28" s="17">
        <f t="shared" si="3"/>
        <v>45610</v>
      </c>
      <c r="V28" s="17">
        <v>45632</v>
      </c>
      <c r="W28" s="13" t="s">
        <v>89</v>
      </c>
      <c r="X28" s="17">
        <v>45969</v>
      </c>
      <c r="Y28" s="17"/>
      <c r="Z28" s="18"/>
      <c r="AA28" s="17" t="s">
        <v>166</v>
      </c>
      <c r="AB28" s="17">
        <v>45975</v>
      </c>
      <c r="AC28" s="18" t="e">
        <f t="shared" si="7"/>
        <v>#VALUE!</v>
      </c>
      <c r="AD28" s="19" t="str">
        <f t="shared" si="4"/>
        <v>46/2025</v>
      </c>
      <c r="AE28" s="17" t="s">
        <v>75</v>
      </c>
      <c r="AF28" s="18" t="str">
        <f t="shared" si="5"/>
        <v>NA</v>
      </c>
      <c r="AG28" s="19" t="s">
        <v>75</v>
      </c>
      <c r="AH28" s="17"/>
      <c r="AI28" s="18" t="str">
        <f t="shared" si="6"/>
        <v>NA</v>
      </c>
      <c r="AJ28" s="17" t="s">
        <v>75</v>
      </c>
      <c r="AK28" s="17" t="s">
        <v>75</v>
      </c>
      <c r="AL28" s="17"/>
      <c r="AM28" s="17" t="s">
        <v>75</v>
      </c>
      <c r="AN28" s="17" t="s">
        <v>75</v>
      </c>
      <c r="AO28" s="17"/>
      <c r="AP28" s="17" t="s">
        <v>75</v>
      </c>
      <c r="AQ28" s="17" t="s">
        <v>75</v>
      </c>
      <c r="AR28" s="17" t="s">
        <v>75</v>
      </c>
      <c r="AS28" s="13" t="str">
        <f ca="1">IF(OR(S28=0, S28=""), "No F1 deadline to compare", IF(T28&gt;0, IF(T28&gt;S28, "Filed after " &amp; (T28-S28) &amp; " days of deadline", "Filed within deadline"), IF(TODAY()&gt;S28, "Delayed by " &amp; (TODAY()-S28) &amp; " days", (S28-TODAY()) &amp; " days left")))</f>
        <v>Filed within deadline</v>
      </c>
      <c r="AT28" s="21" t="str">
        <f ca="1">IF(OR(TRIM(U28)="", U28=0), "No F26 deadline to compare", IF(AND(TRIM(V28)&lt;&gt;"", ISNUMBER(V28)), IF(V28&gt;U28, "Filed after " &amp; (V28-U28) &amp; " days of deadline", "Filed within deadline"), IF(TODAY()&gt;U28, "Delayed by " &amp; (TODAY()-U28) &amp; " days", (U28-TODAY()) &amp; " days left")))</f>
        <v>Filed after 22 days of deadline</v>
      </c>
      <c r="AU28" s="22"/>
      <c r="AV28" s="22"/>
      <c r="AW28" s="22"/>
      <c r="AX28" s="21"/>
      <c r="AY28" s="22"/>
      <c r="AZ28" s="22"/>
      <c r="BA28" s="22"/>
      <c r="BB28" s="21"/>
      <c r="BC28" s="21"/>
      <c r="BD28" s="21"/>
      <c r="BE28" s="21"/>
      <c r="BF28" s="21"/>
      <c r="BG28" s="21"/>
      <c r="BH28" s="13" t="str">
        <f>IF(AND(AP28&lt;&gt;"",ISNUMBER(AP28)),"Patent Refused",IF(AND(AN28&lt;&gt;"",ISNUMBER(AN28)),"Patent Granted",IF(AND(AM28&lt;&gt;"",ISNUMBER(AM28)),"WS Filed",IF(AND(AND(AK28&lt;&gt;"",ISNUMBER(AK28)),NOT(AND(AM28&lt;&gt;"",ISNUMBER(AM28)))),"Hearing Attended - WS Not Filed",IF(AND(AND(AJ28&lt;&gt;"",ISNUMBER(AJ28)),NOT(AND(AK28&lt;&gt;"",ISNUMBER(AK28)))),"Hearing Issued",IF(AND(AG28&lt;&gt;"",ISNUMBER(AG28)),"FER Reply Filed",IF(AND(AND(AE28&lt;&gt;"",ISNUMBER(AE28)),NOT(AND(AG28&lt;&gt;"",ISNUMBER(AG28)))),"FER Received - Reply Not Filed",IF(AND(AB28&lt;&gt;"",ISNUMBER(AB28)),"Published",IF(AND(AND(X28&lt;&gt;"",ISNUMBER(X28)),AND(AA28&lt;&gt;"",ISNUMBER(AA28))),"F9 &amp; F18 Filed",IF(AND(NOT(AND(X28&lt;&gt;"",ISNUMBER(X28))),AND(AA28&lt;&gt;"",ISNUMBER(AA28))),"F9 Not Filed - F18 Filed",IF(AND(AND(X28&lt;&gt;"",ISNUMBER(X28)),NOT(AND(AA28&lt;&gt;"",ISNUMBER(AA28)))),"F9 Filed - F18 Not Filed",IF(AND(NOT(AND(L28&lt;&gt;"",ISNUMBER(L28))),AND(Q28&lt;&gt;"",ISNUMBER(Q28)),NOT(AND(X28&lt;&gt;"",ISNUMBER(X28))),NOT(AND(AA28&lt;&gt;"",ISNUMBER(AA28)))),"Direct CS Filed - F9 &amp; F18 Not Filed",IF(AND(AND(L28&lt;&gt;"",ISNUMBER(L28)),AND(Q28&lt;&gt;"",ISNUMBER(Q28)),NOT(AND(X28&lt;&gt;"",ISNUMBER(X28))),NOT(AND(AA28&lt;&gt;"",ISNUMBER(AA28)))),"PS-CS Filed - F9 &amp; F18 Not Filed",IF(AND(AND(L28&lt;&gt;"",ISNUMBER(L28)),NOT(AND(Q28&lt;&gt;"",ISNUMBER(Q28)))),"PS Filed - CS Not Filed","Not Started"))))))))))))))</f>
        <v>Published</v>
      </c>
      <c r="BI28" s="23"/>
      <c r="BJ28" s="31"/>
      <c r="BK28" s="31"/>
    </row>
    <row r="29" spans="1:63" ht="235.9">
      <c r="A29" s="33" t="s">
        <v>376</v>
      </c>
      <c r="B29" s="14" t="s">
        <v>377</v>
      </c>
      <c r="C29" s="13" t="s">
        <v>81</v>
      </c>
      <c r="D29" s="13" t="s">
        <v>67</v>
      </c>
      <c r="E29" s="15" t="s">
        <v>378</v>
      </c>
      <c r="F29" s="13" t="s">
        <v>380</v>
      </c>
      <c r="G29" s="13" t="s">
        <v>124</v>
      </c>
      <c r="H29" s="13" t="s">
        <v>381</v>
      </c>
      <c r="I29" s="13" t="s">
        <v>327</v>
      </c>
      <c r="J29" s="13" t="s">
        <v>75</v>
      </c>
      <c r="K29" s="13">
        <v>202441088662</v>
      </c>
      <c r="L29" s="17">
        <v>45793</v>
      </c>
      <c r="M29" s="18"/>
      <c r="N29" s="13" t="s">
        <v>84</v>
      </c>
      <c r="O29" s="18" t="str">
        <f t="shared" si="0"/>
        <v>Not yet Postdated</v>
      </c>
      <c r="P29" s="18">
        <f t="shared" si="1"/>
        <v>46158</v>
      </c>
      <c r="Q29" s="17" t="s">
        <v>151</v>
      </c>
      <c r="R29" s="18"/>
      <c r="S29" s="17">
        <f t="shared" si="2"/>
        <v>45977</v>
      </c>
      <c r="T29" s="17">
        <v>45630</v>
      </c>
      <c r="U29" s="17">
        <f t="shared" si="3"/>
        <v>45885</v>
      </c>
      <c r="V29" s="17">
        <v>45632</v>
      </c>
      <c r="W29" s="13" t="s">
        <v>108</v>
      </c>
      <c r="X29" s="17" t="s">
        <v>75</v>
      </c>
      <c r="Y29" s="17"/>
      <c r="Z29" s="18"/>
      <c r="AA29" s="17" t="s">
        <v>75</v>
      </c>
      <c r="AB29" s="17" t="s">
        <v>75</v>
      </c>
      <c r="AC29" s="18" t="e">
        <f t="shared" si="7"/>
        <v>#VALUE!</v>
      </c>
      <c r="AD29" s="19" t="str">
        <f t="shared" si="4"/>
        <v>NA</v>
      </c>
      <c r="AE29" s="17" t="s">
        <v>75</v>
      </c>
      <c r="AF29" s="18" t="str">
        <f t="shared" si="5"/>
        <v>NA</v>
      </c>
      <c r="AG29" s="19" t="s">
        <v>75</v>
      </c>
      <c r="AH29" s="17"/>
      <c r="AI29" s="18" t="str">
        <f t="shared" si="6"/>
        <v>NA</v>
      </c>
      <c r="AJ29" s="17" t="s">
        <v>75</v>
      </c>
      <c r="AK29" s="17" t="s">
        <v>75</v>
      </c>
      <c r="AL29" s="17"/>
      <c r="AM29" s="17" t="s">
        <v>75</v>
      </c>
      <c r="AN29" s="17" t="s">
        <v>75</v>
      </c>
      <c r="AO29" s="17"/>
      <c r="AP29" s="17" t="s">
        <v>75</v>
      </c>
      <c r="AQ29" s="17" t="s">
        <v>75</v>
      </c>
      <c r="AR29" s="17" t="s">
        <v>75</v>
      </c>
      <c r="AS29" s="13" t="str">
        <f ca="1">IF(OR(S29=0, S29=""), "No F1 deadline to compare", IF(T29&gt;0, IF(T29&gt;S29, "Filed after " &amp; (T29-S29) &amp; " days of deadline", "Filed within deadline"), IF(TODAY()&gt;S29, "Delayed by " &amp; (TODAY()-S29) &amp; " days", (S29-TODAY()) &amp; " days left")))</f>
        <v>Filed within deadline</v>
      </c>
      <c r="AT29" s="21" t="str">
        <f ca="1">IF(OR(TRIM(U29)="", U29=0), "No F26 deadline to compare", IF(AND(TRIM(V29)&lt;&gt;"", ISNUMBER(V29)), IF(V29&gt;U29, "Filed after " &amp; (V29-U29) &amp; " days of deadline", "Filed within deadline"), IF(TODAY()&gt;U29, "Delayed by " &amp; (TODAY()-U29) &amp; " days", (U29-TODAY()) &amp; " days left")))</f>
        <v>Filed within deadline</v>
      </c>
      <c r="AU29" s="22"/>
      <c r="AV29" s="22"/>
      <c r="AW29" s="22"/>
      <c r="AX29" s="21"/>
      <c r="AY29" s="22"/>
      <c r="AZ29" s="22"/>
      <c r="BA29" s="22"/>
      <c r="BB29" s="21"/>
      <c r="BC29" s="21"/>
      <c r="BD29" s="21"/>
      <c r="BE29" s="21"/>
      <c r="BF29" s="21"/>
      <c r="BG29" s="21"/>
      <c r="BH29" s="13" t="str">
        <f>IF(AND(AP29&lt;&gt;"",ISNUMBER(AP29)),"Patent Refused",IF(AND(AN29&lt;&gt;"",ISNUMBER(AN29)),"Patent Granted",IF(AND(AM29&lt;&gt;"",ISNUMBER(AM29)),"WS Filed",IF(AND(AND(AK29&lt;&gt;"",ISNUMBER(AK29)),NOT(AND(AM29&lt;&gt;"",ISNUMBER(AM29)))),"Hearing Attended - WS Not Filed",IF(AND(AND(AJ29&lt;&gt;"",ISNUMBER(AJ29)),NOT(AND(AK29&lt;&gt;"",ISNUMBER(AK29)))),"Hearing Issued",IF(AND(AG29&lt;&gt;"",ISNUMBER(AG29)),"FER Reply Filed",IF(AND(AND(AE29&lt;&gt;"",ISNUMBER(AE29)),NOT(AND(AG29&lt;&gt;"",ISNUMBER(AG29)))),"FER Received - Reply Not Filed",IF(AND(AB29&lt;&gt;"",ISNUMBER(AB29)),"Published",IF(AND(AND(X29&lt;&gt;"",ISNUMBER(X29)),AND(AA29&lt;&gt;"",ISNUMBER(AA29))),"F9 &amp; F18 Filed",IF(AND(NOT(AND(X29&lt;&gt;"",ISNUMBER(X29))),AND(AA29&lt;&gt;"",ISNUMBER(AA29))),"F9 Not Filed - F18 Filed",IF(AND(AND(X29&lt;&gt;"",ISNUMBER(X29)),NOT(AND(AA29&lt;&gt;"",ISNUMBER(AA29)))),"F9 Filed - F18 Not Filed",IF(AND(NOT(AND(L29&lt;&gt;"",ISNUMBER(L29))),AND(Q29&lt;&gt;"",ISNUMBER(Q29)),NOT(AND(X29&lt;&gt;"",ISNUMBER(X29))),NOT(AND(AA29&lt;&gt;"",ISNUMBER(AA29)))),"Direct CS Filed - F9 &amp; F18 Not Filed",IF(AND(AND(L29&lt;&gt;"",ISNUMBER(L29)),AND(Q29&lt;&gt;"",ISNUMBER(Q29)),NOT(AND(X29&lt;&gt;"",ISNUMBER(X29))),NOT(AND(AA29&lt;&gt;"",ISNUMBER(AA29)))),"PS-CS Filed - F9 &amp; F18 Not Filed",IF(AND(AND(L29&lt;&gt;"",ISNUMBER(L29)),NOT(AND(Q29&lt;&gt;"",ISNUMBER(Q29)))),"PS Filed - CS Not Filed","Not Started"))))))))))))))</f>
        <v>PS Filed - CS Not Filed</v>
      </c>
      <c r="BI29" s="23"/>
      <c r="BJ29" s="31"/>
      <c r="BK29" s="31"/>
    </row>
    <row r="30" spans="1:63" ht="13.9">
      <c r="A30" s="13" t="s">
        <v>382</v>
      </c>
      <c r="B30" s="14"/>
      <c r="C30" s="13"/>
      <c r="D30" s="13" t="s">
        <v>67</v>
      </c>
      <c r="E30" s="15"/>
      <c r="F30" s="13"/>
      <c r="G30" s="13"/>
      <c r="H30" s="13"/>
      <c r="I30" s="13"/>
      <c r="J30" s="13"/>
      <c r="K30" s="13"/>
      <c r="L30" s="17"/>
      <c r="M30" s="18"/>
      <c r="N30" s="18"/>
      <c r="O30" s="18" t="str">
        <f t="shared" si="0"/>
        <v>PS Not yet filed</v>
      </c>
      <c r="P30" s="18" t="str">
        <f t="shared" si="1"/>
        <v/>
      </c>
      <c r="Q30" s="17"/>
      <c r="R30" s="18"/>
      <c r="S30" s="17" t="str">
        <f t="shared" si="2"/>
        <v>NA</v>
      </c>
      <c r="T30" s="17"/>
      <c r="U30" s="17" t="str">
        <f t="shared" si="3"/>
        <v>NA</v>
      </c>
      <c r="V30" s="17"/>
      <c r="W30" s="13" t="s">
        <v>139</v>
      </c>
      <c r="X30" s="17"/>
      <c r="Y30" s="17"/>
      <c r="Z30" s="18"/>
      <c r="AA30" s="17"/>
      <c r="AB30" s="17"/>
      <c r="AC30" s="18" t="e">
        <f t="shared" si="7"/>
        <v>#VALUE!</v>
      </c>
      <c r="AD30" s="19">
        <f t="shared" si="4"/>
        <v>0</v>
      </c>
      <c r="AE30" s="17"/>
      <c r="AF30" s="18" t="str">
        <f t="shared" si="5"/>
        <v>NA</v>
      </c>
      <c r="AG30" s="19"/>
      <c r="AH30" s="17"/>
      <c r="AI30" s="18" t="str">
        <f t="shared" si="6"/>
        <v>NA</v>
      </c>
      <c r="AJ30" s="17"/>
      <c r="AK30" s="17"/>
      <c r="AL30" s="17"/>
      <c r="AM30" s="17"/>
      <c r="AN30" s="17"/>
      <c r="AO30" s="17"/>
      <c r="AP30" s="17"/>
      <c r="AQ30" s="17"/>
      <c r="AR30" s="17"/>
      <c r="AS30" s="13" t="e">
        <f ca="1">IF(OR(S30=0, S30=""), "No F1 deadline to compare", IF(T30&gt;0, IF(T30&gt;S30, "Filed after " &amp; (T30-S30) &amp; " days of deadline", "Filed within deadline"), IF(TODAY()&gt;S30, "Delayed by " &amp; (TODAY()-S30) &amp; " days", (S30-TODAY()) &amp; " days left")))</f>
        <v>#VALUE!</v>
      </c>
      <c r="AT30" s="21" t="e">
        <f ca="1">IF(OR(TRIM(U30)="", U30=0), "No F26 deadline to compare", IF(AND(TRIM(V30)&lt;&gt;"", ISNUMBER(V30)), IF(V30&gt;U30, "Filed after " &amp; (V30-U30) &amp; " days of deadline", "Filed within deadline"), IF(TODAY()&gt;U30, "Delayed by " &amp; (TODAY()-U30) &amp; " days", (U30-TODAY()) &amp; " days left")))</f>
        <v>#VALUE!</v>
      </c>
      <c r="AU30" s="22"/>
      <c r="AV30" s="22"/>
      <c r="AW30" s="22"/>
      <c r="AX30" s="21"/>
      <c r="AY30" s="22"/>
      <c r="AZ30" s="22"/>
      <c r="BA30" s="22"/>
      <c r="BB30" s="21"/>
      <c r="BC30" s="21"/>
      <c r="BD30" s="21"/>
      <c r="BE30" s="21"/>
      <c r="BF30" s="21"/>
      <c r="BG30" s="21"/>
      <c r="BH30" s="13" t="str">
        <f>IF(AND(AP30&lt;&gt;"",ISNUMBER(AP30)),"Patent Refused",IF(AND(AN30&lt;&gt;"",ISNUMBER(AN30)),"Patent Granted",IF(AND(AM30&lt;&gt;"",ISNUMBER(AM30)),"WS Filed",IF(AND(AND(AK30&lt;&gt;"",ISNUMBER(AK30)),NOT(AND(AM30&lt;&gt;"",ISNUMBER(AM30)))),"Hearing Attended - WS Not Filed",IF(AND(AND(AJ30&lt;&gt;"",ISNUMBER(AJ30)),NOT(AND(AK30&lt;&gt;"",ISNUMBER(AK30)))),"Hearing Issued",IF(AND(AG30&lt;&gt;"",ISNUMBER(AG30)),"FER Reply Filed",IF(AND(AND(AE30&lt;&gt;"",ISNUMBER(AE30)),NOT(AND(AG30&lt;&gt;"",ISNUMBER(AG30)))),"FER Received - Reply Not Filed",IF(AND(AB30&lt;&gt;"",ISNUMBER(AB30)),"Published",IF(AND(AND(X30&lt;&gt;"",ISNUMBER(X30)),AND(AA30&lt;&gt;"",ISNUMBER(AA30))),"F9 &amp; F18 Filed",IF(AND(NOT(AND(X30&lt;&gt;"",ISNUMBER(X30))),AND(AA30&lt;&gt;"",ISNUMBER(AA30))),"F9 Not Filed - F18 Filed",IF(AND(AND(X30&lt;&gt;"",ISNUMBER(X30)),NOT(AND(AA30&lt;&gt;"",ISNUMBER(AA30)))),"F9 Filed - F18 Not Filed",IF(AND(NOT(AND(L30&lt;&gt;"",ISNUMBER(L30))),AND(Q30&lt;&gt;"",ISNUMBER(Q30)),NOT(AND(X30&lt;&gt;"",ISNUMBER(X30))),NOT(AND(AA30&lt;&gt;"",ISNUMBER(AA30)))),"Direct CS Filed - F9 &amp; F18 Not Filed",IF(AND(AND(L30&lt;&gt;"",ISNUMBER(L30)),AND(Q30&lt;&gt;"",ISNUMBER(Q30)),NOT(AND(X30&lt;&gt;"",ISNUMBER(X30))),NOT(AND(AA30&lt;&gt;"",ISNUMBER(AA30)))),"PS-CS Filed - F9 &amp; F18 Not Filed",IF(AND(AND(L30&lt;&gt;"",ISNUMBER(L30)),NOT(AND(Q30&lt;&gt;"",ISNUMBER(Q30)))),"PS Filed - CS Not Filed","Not Started"))))))))))))))</f>
        <v>Not Started</v>
      </c>
      <c r="BI30" s="23"/>
      <c r="BJ30" s="31"/>
      <c r="BK30" s="31"/>
    </row>
    <row r="31" spans="1:63" ht="152.65">
      <c r="A31" s="13" t="s">
        <v>230</v>
      </c>
      <c r="B31" s="14" t="s">
        <v>231</v>
      </c>
      <c r="C31" s="13" t="s">
        <v>96</v>
      </c>
      <c r="D31" s="13" t="s">
        <v>67</v>
      </c>
      <c r="E31" s="15" t="s">
        <v>395</v>
      </c>
      <c r="F31" s="13" t="s">
        <v>233</v>
      </c>
      <c r="G31" s="13" t="s">
        <v>234</v>
      </c>
      <c r="H31" s="13" t="s">
        <v>235</v>
      </c>
      <c r="I31" s="13" t="s">
        <v>237</v>
      </c>
      <c r="J31" s="13" t="s">
        <v>75</v>
      </c>
      <c r="K31" s="36">
        <v>202441071570</v>
      </c>
      <c r="L31" s="17">
        <v>45557</v>
      </c>
      <c r="M31" s="18"/>
      <c r="N31" s="18"/>
      <c r="O31" s="18" t="str">
        <f t="shared" si="0"/>
        <v>Not yet Postdated</v>
      </c>
      <c r="P31" s="18">
        <f t="shared" si="1"/>
        <v>45922</v>
      </c>
      <c r="Q31" s="17">
        <v>45769</v>
      </c>
      <c r="R31" s="18"/>
      <c r="S31" s="17">
        <f t="shared" si="2"/>
        <v>45738</v>
      </c>
      <c r="T31" s="17">
        <v>45740</v>
      </c>
      <c r="U31" s="17">
        <f t="shared" si="3"/>
        <v>45648</v>
      </c>
      <c r="V31" s="17">
        <v>45632</v>
      </c>
      <c r="W31" s="13" t="s">
        <v>89</v>
      </c>
      <c r="X31" s="17">
        <v>45827</v>
      </c>
      <c r="Y31" s="17"/>
      <c r="Z31" s="18"/>
      <c r="AA31" s="17">
        <v>45919</v>
      </c>
      <c r="AB31" s="17">
        <v>45835</v>
      </c>
      <c r="AC31" s="18" t="e">
        <f t="shared" si="7"/>
        <v>#VALUE!</v>
      </c>
      <c r="AD31" s="19" t="str">
        <f t="shared" si="4"/>
        <v>26/2025</v>
      </c>
      <c r="AE31" s="17" t="s">
        <v>75</v>
      </c>
      <c r="AF31" s="18" t="str">
        <f t="shared" si="5"/>
        <v>NA</v>
      </c>
      <c r="AG31" s="19" t="s">
        <v>75</v>
      </c>
      <c r="AH31" s="17"/>
      <c r="AI31" s="18" t="str">
        <f t="shared" si="6"/>
        <v>NA</v>
      </c>
      <c r="AJ31" s="17" t="s">
        <v>75</v>
      </c>
      <c r="AK31" s="17" t="s">
        <v>75</v>
      </c>
      <c r="AL31" s="17"/>
      <c r="AM31" s="17" t="s">
        <v>75</v>
      </c>
      <c r="AN31" s="17" t="s">
        <v>75</v>
      </c>
      <c r="AO31" s="17"/>
      <c r="AP31" s="17" t="s">
        <v>75</v>
      </c>
      <c r="AQ31" s="17" t="s">
        <v>75</v>
      </c>
      <c r="AR31" s="17" t="s">
        <v>75</v>
      </c>
      <c r="AS31" s="13" t="str">
        <f ca="1">IF(OR(S31=0, S31=""), "No F1 deadline to compare", IF(T31&gt;0, IF(T31&gt;S31, "Filed after " &amp; (T31-S31) &amp; " days of deadline", "Filed within deadline"), IF(TODAY()&gt;S31, "Delayed by " &amp; (TODAY()-S31) &amp; " days", (S31-TODAY()) &amp; " days left")))</f>
        <v>Filed after 2 days of deadline</v>
      </c>
      <c r="AT31" s="21" t="str">
        <f ca="1">IF(OR(TRIM(U31)="", U31=0), "No F26 deadline to compare", IF(AND(TRIM(V31)&lt;&gt;"", ISNUMBER(V31)), IF(V31&gt;U31, "Filed after " &amp; (V31-U31) &amp; " days of deadline", "Filed within deadline"), IF(TODAY()&gt;U31, "Delayed by " &amp; (TODAY()-U31) &amp; " days", (U31-TODAY()) &amp; " days left")))</f>
        <v>Filed within deadline</v>
      </c>
      <c r="AU31" s="22"/>
      <c r="AV31" s="22"/>
      <c r="AW31" s="22"/>
      <c r="AX31" s="21"/>
      <c r="AY31" s="22"/>
      <c r="AZ31" s="22"/>
      <c r="BA31" s="22"/>
      <c r="BB31" s="21"/>
      <c r="BC31" s="21"/>
      <c r="BD31" s="21"/>
      <c r="BE31" s="21"/>
      <c r="BF31" s="21"/>
      <c r="BG31" s="21"/>
      <c r="BH31" s="13" t="str">
        <f>IF(AND(AP31&lt;&gt;"",ISNUMBER(AP31)),"Patent Refused",IF(AND(AN31&lt;&gt;"",ISNUMBER(AN31)),"Patent Granted",IF(AND(AM31&lt;&gt;"",ISNUMBER(AM31)),"WS Filed",IF(AND(AND(AK31&lt;&gt;"",ISNUMBER(AK31)),NOT(AND(AM31&lt;&gt;"",ISNUMBER(AM31)))),"Hearing Attended - WS Not Filed",IF(AND(AND(AJ31&lt;&gt;"",ISNUMBER(AJ31)),NOT(AND(AK31&lt;&gt;"",ISNUMBER(AK31)))),"Hearing Issued",IF(AND(AG31&lt;&gt;"",ISNUMBER(AG31)),"FER Reply Filed",IF(AND(AND(AE31&lt;&gt;"",ISNUMBER(AE31)),NOT(AND(AG31&lt;&gt;"",ISNUMBER(AG31)))),"FER Received - Reply Not Filed",IF(AND(AB31&lt;&gt;"",ISNUMBER(AB31)),"Published",IF(AND(AND(X31&lt;&gt;"",ISNUMBER(X31)),AND(AA31&lt;&gt;"",ISNUMBER(AA31))),"F9 &amp; F18 Filed",IF(AND(NOT(AND(X31&lt;&gt;"",ISNUMBER(X31))),AND(AA31&lt;&gt;"",ISNUMBER(AA31))),"F9 Not Filed - F18 Filed",IF(AND(AND(X31&lt;&gt;"",ISNUMBER(X31)),NOT(AND(AA31&lt;&gt;"",ISNUMBER(AA31)))),"F9 Filed - F18 Not Filed",IF(AND(NOT(AND(L31&lt;&gt;"",ISNUMBER(L31))),AND(Q31&lt;&gt;"",ISNUMBER(Q31)),NOT(AND(X31&lt;&gt;"",ISNUMBER(X31))),NOT(AND(AA31&lt;&gt;"",ISNUMBER(AA31)))),"Direct CS Filed - F9 &amp; F18 Not Filed",IF(AND(AND(L31&lt;&gt;"",ISNUMBER(L31)),AND(Q31&lt;&gt;"",ISNUMBER(Q31)),NOT(AND(X31&lt;&gt;"",ISNUMBER(X31))),NOT(AND(AA31&lt;&gt;"",ISNUMBER(AA31)))),"PS-CS Filed - F9 &amp; F18 Not Filed",IF(AND(AND(L31&lt;&gt;"",ISNUMBER(L31)),NOT(AND(Q31&lt;&gt;"",ISNUMBER(Q31)))),"PS Filed - CS Not Filed","Not Started"))))))))))))))</f>
        <v>Published</v>
      </c>
      <c r="BI31" s="23"/>
      <c r="BJ31" s="31"/>
      <c r="BK31" s="31"/>
    </row>
    <row r="32" spans="1:63" ht="277.5">
      <c r="A32" s="13" t="s">
        <v>189</v>
      </c>
      <c r="B32" s="14" t="s">
        <v>190</v>
      </c>
      <c r="C32" s="13" t="s">
        <v>191</v>
      </c>
      <c r="D32" s="13" t="s">
        <v>192</v>
      </c>
      <c r="E32" s="15" t="s">
        <v>402</v>
      </c>
      <c r="F32" s="13" t="s">
        <v>193</v>
      </c>
      <c r="G32" s="13" t="s">
        <v>194</v>
      </c>
      <c r="H32" s="13" t="s">
        <v>195</v>
      </c>
      <c r="I32" s="13" t="s">
        <v>196</v>
      </c>
      <c r="J32" s="13" t="s">
        <v>75</v>
      </c>
      <c r="K32" s="36">
        <v>202441095228</v>
      </c>
      <c r="L32" s="17"/>
      <c r="M32" s="18"/>
      <c r="N32" s="18"/>
      <c r="O32" s="18" t="str">
        <f t="shared" si="0"/>
        <v>PS Not yet filed</v>
      </c>
      <c r="P32" s="18" t="str">
        <f t="shared" si="1"/>
        <v/>
      </c>
      <c r="Q32" s="17">
        <v>45629</v>
      </c>
      <c r="R32" s="18"/>
      <c r="S32" s="17">
        <f t="shared" si="2"/>
        <v>45811</v>
      </c>
      <c r="T32" s="17">
        <v>45629</v>
      </c>
      <c r="U32" s="17">
        <f t="shared" si="3"/>
        <v>45719</v>
      </c>
      <c r="V32" s="17">
        <v>45680</v>
      </c>
      <c r="W32" s="13" t="s">
        <v>89</v>
      </c>
      <c r="X32" s="17">
        <v>45736</v>
      </c>
      <c r="Y32" s="17"/>
      <c r="Z32" s="18"/>
      <c r="AA32" s="17">
        <v>45736</v>
      </c>
      <c r="AB32" s="17">
        <v>45744</v>
      </c>
      <c r="AC32" s="18" t="e">
        <f t="shared" si="7"/>
        <v>#VALUE!</v>
      </c>
      <c r="AD32" s="19" t="str">
        <f t="shared" si="4"/>
        <v>13/2025</v>
      </c>
      <c r="AE32" s="17" t="s">
        <v>75</v>
      </c>
      <c r="AF32" s="18" t="str">
        <f t="shared" si="5"/>
        <v>NA</v>
      </c>
      <c r="AG32" s="19" t="s">
        <v>75</v>
      </c>
      <c r="AH32" s="17"/>
      <c r="AI32" s="18" t="str">
        <f t="shared" si="6"/>
        <v>NA</v>
      </c>
      <c r="AJ32" s="17" t="s">
        <v>75</v>
      </c>
      <c r="AK32" s="17" t="s">
        <v>75</v>
      </c>
      <c r="AL32" s="17"/>
      <c r="AM32" s="17" t="s">
        <v>75</v>
      </c>
      <c r="AN32" s="17" t="s">
        <v>75</v>
      </c>
      <c r="AO32" s="17"/>
      <c r="AP32" s="17" t="s">
        <v>75</v>
      </c>
      <c r="AQ32" s="17" t="s">
        <v>75</v>
      </c>
      <c r="AR32" s="17" t="s">
        <v>75</v>
      </c>
      <c r="AS32" s="13" t="str">
        <f ca="1">IF(OR(S32=0, S32=""), "No F1 deadline to compare", IF(T32&gt;0, IF(T32&gt;S32, "Filed after " &amp; (T32-S32) &amp; " days of deadline", "Filed within deadline"), IF(TODAY()&gt;S32, "Delayed by " &amp; (TODAY()-S32) &amp; " days", (S32-TODAY()) &amp; " days left")))</f>
        <v>Filed within deadline</v>
      </c>
      <c r="AT32" s="21" t="str">
        <f ca="1">IF(OR(TRIM(U32)="", U32=0), "No F26 deadline to compare", IF(AND(TRIM(V32)&lt;&gt;"", ISNUMBER(V32)), IF(V32&gt;U32, "Filed after " &amp; (V32-U32) &amp; " days of deadline", "Filed within deadline"), IF(TODAY()&gt;U32, "Delayed by " &amp; (TODAY()-U32) &amp; " days", (U32-TODAY()) &amp; " days left")))</f>
        <v>Filed within deadline</v>
      </c>
      <c r="AU32" s="22"/>
      <c r="AV32" s="22"/>
      <c r="AW32" s="22"/>
      <c r="AX32" s="21"/>
      <c r="AY32" s="22"/>
      <c r="AZ32" s="22"/>
      <c r="BA32" s="22"/>
      <c r="BB32" s="21"/>
      <c r="BC32" s="21"/>
      <c r="BD32" s="21"/>
      <c r="BE32" s="21"/>
      <c r="BF32" s="21"/>
      <c r="BG32" s="21"/>
      <c r="BH32" s="13" t="str">
        <f>IF(AND(AP32&lt;&gt;"",ISNUMBER(AP32)),"Patent Refused",IF(AND(AN32&lt;&gt;"",ISNUMBER(AN32)),"Patent Granted",IF(AND(AM32&lt;&gt;"",ISNUMBER(AM32)),"WS Filed",IF(AND(AND(AK32&lt;&gt;"",ISNUMBER(AK32)),NOT(AND(AM32&lt;&gt;"",ISNUMBER(AM32)))),"Hearing Attended - WS Not Filed",IF(AND(AND(AJ32&lt;&gt;"",ISNUMBER(AJ32)),NOT(AND(AK32&lt;&gt;"",ISNUMBER(AK32)))),"Hearing Issued",IF(AND(AG32&lt;&gt;"",ISNUMBER(AG32)),"FER Reply Filed",IF(AND(AND(AE32&lt;&gt;"",ISNUMBER(AE32)),NOT(AND(AG32&lt;&gt;"",ISNUMBER(AG32)))),"FER Received - Reply Not Filed",IF(AND(AB32&lt;&gt;"",ISNUMBER(AB32)),"Published",IF(AND(AND(X32&lt;&gt;"",ISNUMBER(X32)),AND(AA32&lt;&gt;"",ISNUMBER(AA32))),"F9 &amp; F18 Filed",IF(AND(NOT(AND(X32&lt;&gt;"",ISNUMBER(X32))),AND(AA32&lt;&gt;"",ISNUMBER(AA32))),"F9 Not Filed - F18 Filed",IF(AND(AND(X32&lt;&gt;"",ISNUMBER(X32)),NOT(AND(AA32&lt;&gt;"",ISNUMBER(AA32)))),"F9 Filed - F18 Not Filed",IF(AND(NOT(AND(L32&lt;&gt;"",ISNUMBER(L32))),AND(Q32&lt;&gt;"",ISNUMBER(Q32)),NOT(AND(X32&lt;&gt;"",ISNUMBER(X32))),NOT(AND(AA32&lt;&gt;"",ISNUMBER(AA32)))),"Direct CS Filed - F9 &amp; F18 Not Filed",IF(AND(AND(L32&lt;&gt;"",ISNUMBER(L32)),AND(Q32&lt;&gt;"",ISNUMBER(Q32)),NOT(AND(X32&lt;&gt;"",ISNUMBER(X32))),NOT(AND(AA32&lt;&gt;"",ISNUMBER(AA32)))),"PS-CS Filed - F9 &amp; F18 Not Filed",IF(AND(AND(L32&lt;&gt;"",ISNUMBER(L32)),NOT(AND(Q32&lt;&gt;"",ISNUMBER(Q32)))),"PS Filed - CS Not Filed","Not Started"))))))))))))))</f>
        <v>Published</v>
      </c>
      <c r="BI32" s="23"/>
      <c r="BJ32" s="31"/>
      <c r="BK32" s="31"/>
    </row>
    <row r="33" spans="1:63" ht="409.5">
      <c r="A33" s="33" t="s">
        <v>249</v>
      </c>
      <c r="B33" s="14" t="s">
        <v>250</v>
      </c>
      <c r="C33" s="13" t="s">
        <v>81</v>
      </c>
      <c r="D33" s="13" t="s">
        <v>67</v>
      </c>
      <c r="E33" s="15" t="s">
        <v>408</v>
      </c>
      <c r="F33" s="13" t="s">
        <v>251</v>
      </c>
      <c r="G33" s="13"/>
      <c r="H33" s="13"/>
      <c r="I33" s="13"/>
      <c r="J33" s="13" t="s">
        <v>75</v>
      </c>
      <c r="K33" s="13">
        <v>202441096985</v>
      </c>
      <c r="L33" s="17">
        <v>45635</v>
      </c>
      <c r="M33" s="18"/>
      <c r="N33" s="18"/>
      <c r="O33" s="18" t="str">
        <f t="shared" si="0"/>
        <v>Not yet Postdated</v>
      </c>
      <c r="P33" s="18">
        <f t="shared" si="1"/>
        <v>46000</v>
      </c>
      <c r="Q33" s="17" t="s">
        <v>252</v>
      </c>
      <c r="R33" s="18"/>
      <c r="S33" s="17">
        <f t="shared" si="2"/>
        <v>45817</v>
      </c>
      <c r="T33" s="17">
        <v>45635</v>
      </c>
      <c r="U33" s="17">
        <f t="shared" si="3"/>
        <v>45725</v>
      </c>
      <c r="V33" s="17">
        <v>45680</v>
      </c>
      <c r="W33" s="13" t="s">
        <v>108</v>
      </c>
      <c r="X33" s="17" t="s">
        <v>75</v>
      </c>
      <c r="Y33" s="17"/>
      <c r="Z33" s="18"/>
      <c r="AA33" s="17" t="s">
        <v>75</v>
      </c>
      <c r="AB33" s="17" t="s">
        <v>75</v>
      </c>
      <c r="AC33" s="18" t="e">
        <f t="shared" si="7"/>
        <v>#VALUE!</v>
      </c>
      <c r="AD33" s="19" t="str">
        <f t="shared" si="4"/>
        <v>NA</v>
      </c>
      <c r="AE33" s="17" t="s">
        <v>75</v>
      </c>
      <c r="AF33" s="18" t="str">
        <f t="shared" si="5"/>
        <v>NA</v>
      </c>
      <c r="AG33" s="19" t="s">
        <v>75</v>
      </c>
      <c r="AH33" s="17"/>
      <c r="AI33" s="18" t="str">
        <f t="shared" si="6"/>
        <v>NA</v>
      </c>
      <c r="AJ33" s="17" t="s">
        <v>75</v>
      </c>
      <c r="AK33" s="17" t="s">
        <v>75</v>
      </c>
      <c r="AL33" s="17"/>
      <c r="AM33" s="17" t="s">
        <v>75</v>
      </c>
      <c r="AN33" s="17" t="s">
        <v>75</v>
      </c>
      <c r="AO33" s="17"/>
      <c r="AP33" s="17" t="s">
        <v>75</v>
      </c>
      <c r="AQ33" s="17" t="s">
        <v>75</v>
      </c>
      <c r="AR33" s="17" t="s">
        <v>75</v>
      </c>
      <c r="AS33" s="13" t="str">
        <f ca="1">IF(OR(S33=0, S33=""), "No F1 deadline to compare", IF(T33&gt;0, IF(T33&gt;S33, "Filed after " &amp; (T33-S33) &amp; " days of deadline", "Filed within deadline"), IF(TODAY()&gt;S33, "Delayed by " &amp; (TODAY()-S33) &amp; " days", (S33-TODAY()) &amp; " days left")))</f>
        <v>Filed within deadline</v>
      </c>
      <c r="AT33" s="21" t="str">
        <f ca="1">IF(OR(TRIM(U33)="", U33=0), "No F26 deadline to compare", IF(AND(TRIM(V33)&lt;&gt;"", ISNUMBER(V33)), IF(V33&gt;U33, "Filed after " &amp; (V33-U33) &amp; " days of deadline", "Filed within deadline"), IF(TODAY()&gt;U33, "Delayed by " &amp; (TODAY()-U33) &amp; " days", (U33-TODAY()) &amp; " days left")))</f>
        <v>Filed within deadline</v>
      </c>
      <c r="AU33" s="22"/>
      <c r="AV33" s="22"/>
      <c r="AW33" s="22"/>
      <c r="AX33" s="21"/>
      <c r="AY33" s="22"/>
      <c r="AZ33" s="22"/>
      <c r="BA33" s="22"/>
      <c r="BB33" s="21"/>
      <c r="BC33" s="21"/>
      <c r="BD33" s="21"/>
      <c r="BE33" s="21"/>
      <c r="BF33" s="21"/>
      <c r="BG33" s="21"/>
      <c r="BH33" s="13" t="str">
        <f>IF(AND(AP33&lt;&gt;"",ISNUMBER(AP33)),"Patent Refused",IF(AND(AN33&lt;&gt;"",ISNUMBER(AN33)),"Patent Granted",IF(AND(AM33&lt;&gt;"",ISNUMBER(AM33)),"WS Filed",IF(AND(AND(AK33&lt;&gt;"",ISNUMBER(AK33)),NOT(AND(AM33&lt;&gt;"",ISNUMBER(AM33)))),"Hearing Attended - WS Not Filed",IF(AND(AND(AJ33&lt;&gt;"",ISNUMBER(AJ33)),NOT(AND(AK33&lt;&gt;"",ISNUMBER(AK33)))),"Hearing Issued",IF(AND(AG33&lt;&gt;"",ISNUMBER(AG33)),"FER Reply Filed",IF(AND(AND(AE33&lt;&gt;"",ISNUMBER(AE33)),NOT(AND(AG33&lt;&gt;"",ISNUMBER(AG33)))),"FER Received - Reply Not Filed",IF(AND(AB33&lt;&gt;"",ISNUMBER(AB33)),"Published",IF(AND(AND(X33&lt;&gt;"",ISNUMBER(X33)),AND(AA33&lt;&gt;"",ISNUMBER(AA33))),"F9 &amp; F18 Filed",IF(AND(NOT(AND(X33&lt;&gt;"",ISNUMBER(X33))),AND(AA33&lt;&gt;"",ISNUMBER(AA33))),"F9 Not Filed - F18 Filed",IF(AND(AND(X33&lt;&gt;"",ISNUMBER(X33)),NOT(AND(AA33&lt;&gt;"",ISNUMBER(AA33)))),"F9 Filed - F18 Not Filed",IF(AND(NOT(AND(L33&lt;&gt;"",ISNUMBER(L33))),AND(Q33&lt;&gt;"",ISNUMBER(Q33)),NOT(AND(X33&lt;&gt;"",ISNUMBER(X33))),NOT(AND(AA33&lt;&gt;"",ISNUMBER(AA33)))),"Direct CS Filed - F9 &amp; F18 Not Filed",IF(AND(AND(L33&lt;&gt;"",ISNUMBER(L33)),AND(Q33&lt;&gt;"",ISNUMBER(Q33)),NOT(AND(X33&lt;&gt;"",ISNUMBER(X33))),NOT(AND(AA33&lt;&gt;"",ISNUMBER(AA33)))),"PS-CS Filed - F9 &amp; F18 Not Filed",IF(AND(AND(L33&lt;&gt;"",ISNUMBER(L33)),NOT(AND(Q33&lt;&gt;"",ISNUMBER(Q33)))),"PS Filed - CS Not Filed","Not Started"))))))))))))))</f>
        <v>PS Filed - CS Not Filed</v>
      </c>
      <c r="BI33" s="23"/>
      <c r="BJ33" s="31"/>
      <c r="BK33" s="31"/>
    </row>
    <row r="34" spans="1:63" ht="41.65">
      <c r="A34" s="33" t="s">
        <v>420</v>
      </c>
      <c r="B34" s="14" t="s">
        <v>421</v>
      </c>
      <c r="C34" s="13" t="s">
        <v>96</v>
      </c>
      <c r="D34" s="13" t="s">
        <v>67</v>
      </c>
      <c r="E34" s="15" t="s">
        <v>75</v>
      </c>
      <c r="F34" s="13" t="s">
        <v>75</v>
      </c>
      <c r="G34" s="13"/>
      <c r="H34" s="13"/>
      <c r="I34" s="13" t="s">
        <v>75</v>
      </c>
      <c r="J34" s="13" t="s">
        <v>75</v>
      </c>
      <c r="K34" s="13" t="s">
        <v>75</v>
      </c>
      <c r="L34" s="17" t="s">
        <v>75</v>
      </c>
      <c r="M34" s="18"/>
      <c r="N34" s="18"/>
      <c r="O34" s="18" t="str">
        <f t="shared" si="0"/>
        <v>PS Not yet filed</v>
      </c>
      <c r="P34" s="18" t="str">
        <f t="shared" si="1"/>
        <v/>
      </c>
      <c r="Q34" s="17" t="s">
        <v>75</v>
      </c>
      <c r="R34" s="18"/>
      <c r="S34" s="17" t="str">
        <f t="shared" si="2"/>
        <v>NA</v>
      </c>
      <c r="T34" s="17"/>
      <c r="U34" s="17" t="str">
        <f t="shared" si="3"/>
        <v>NA</v>
      </c>
      <c r="V34" s="17" t="s">
        <v>423</v>
      </c>
      <c r="W34" s="13" t="s">
        <v>89</v>
      </c>
      <c r="X34" s="17" t="s">
        <v>75</v>
      </c>
      <c r="Y34" s="17"/>
      <c r="Z34" s="18"/>
      <c r="AA34" s="17" t="s">
        <v>75</v>
      </c>
      <c r="AB34" s="17" t="s">
        <v>75</v>
      </c>
      <c r="AC34" s="18" t="e">
        <f t="shared" si="7"/>
        <v>#VALUE!</v>
      </c>
      <c r="AD34" s="19" t="str">
        <f t="shared" si="4"/>
        <v>NA</v>
      </c>
      <c r="AE34" s="17" t="s">
        <v>75</v>
      </c>
      <c r="AF34" s="18" t="str">
        <f t="shared" si="5"/>
        <v>NA</v>
      </c>
      <c r="AG34" s="19" t="s">
        <v>75</v>
      </c>
      <c r="AH34" s="17"/>
      <c r="AI34" s="18" t="str">
        <f t="shared" si="6"/>
        <v>NA</v>
      </c>
      <c r="AJ34" s="17" t="s">
        <v>75</v>
      </c>
      <c r="AK34" s="17" t="s">
        <v>75</v>
      </c>
      <c r="AL34" s="17"/>
      <c r="AM34" s="17" t="s">
        <v>75</v>
      </c>
      <c r="AN34" s="17" t="s">
        <v>75</v>
      </c>
      <c r="AO34" s="17"/>
      <c r="AP34" s="17" t="s">
        <v>75</v>
      </c>
      <c r="AQ34" s="17" t="s">
        <v>75</v>
      </c>
      <c r="AR34" s="17" t="s">
        <v>75</v>
      </c>
      <c r="AS34" s="13" t="e">
        <f ca="1">IF(OR(S34=0, S34=""), "No F1 deadline to compare", IF(T34&gt;0, IF(T34&gt;S34, "Filed after " &amp; (T34-S34) &amp; " days of deadline", "Filed within deadline"), IF(TODAY()&gt;S34, "Delayed by " &amp; (TODAY()-S34) &amp; " days", (S34-TODAY()) &amp; " days left")))</f>
        <v>#VALUE!</v>
      </c>
      <c r="AT34" s="21" t="e">
        <f ca="1">IF(OR(TRIM(U34)="", U34=0), "No F26 deadline to compare", IF(AND(TRIM(V34)&lt;&gt;"", ISNUMBER(V34)), IF(V34&gt;U34, "Filed after " &amp; (V34-U34) &amp; " days of deadline", "Filed within deadline"), IF(TODAY()&gt;U34, "Delayed by " &amp; (TODAY()-U34) &amp; " days", (U34-TODAY()) &amp; " days left")))</f>
        <v>#VALUE!</v>
      </c>
      <c r="AU34" s="22"/>
      <c r="AV34" s="22"/>
      <c r="AW34" s="22"/>
      <c r="AX34" s="21"/>
      <c r="AY34" s="22"/>
      <c r="AZ34" s="22"/>
      <c r="BA34" s="22"/>
      <c r="BB34" s="21"/>
      <c r="BC34" s="21"/>
      <c r="BD34" s="21"/>
      <c r="BE34" s="21"/>
      <c r="BF34" s="21"/>
      <c r="BG34" s="21"/>
      <c r="BH34" s="13" t="str">
        <f>IF(AND(AP34&lt;&gt;"",ISNUMBER(AP34)),"Patent Refused",IF(AND(AN34&lt;&gt;"",ISNUMBER(AN34)),"Patent Granted",IF(AND(AM34&lt;&gt;"",ISNUMBER(AM34)),"WS Filed",IF(AND(AND(AK34&lt;&gt;"",ISNUMBER(AK34)),NOT(AND(AM34&lt;&gt;"",ISNUMBER(AM34)))),"Hearing Attended - WS Not Filed",IF(AND(AND(AJ34&lt;&gt;"",ISNUMBER(AJ34)),NOT(AND(AK34&lt;&gt;"",ISNUMBER(AK34)))),"Hearing Issued",IF(AND(AG34&lt;&gt;"",ISNUMBER(AG34)),"FER Reply Filed",IF(AND(AND(AE34&lt;&gt;"",ISNUMBER(AE34)),NOT(AND(AG34&lt;&gt;"",ISNUMBER(AG34)))),"FER Received - Reply Not Filed",IF(AND(AB34&lt;&gt;"",ISNUMBER(AB34)),"Published",IF(AND(AND(X34&lt;&gt;"",ISNUMBER(X34)),AND(AA34&lt;&gt;"",ISNUMBER(AA34))),"F9 &amp; F18 Filed",IF(AND(NOT(AND(X34&lt;&gt;"",ISNUMBER(X34))),AND(AA34&lt;&gt;"",ISNUMBER(AA34))),"F9 Not Filed - F18 Filed",IF(AND(AND(X34&lt;&gt;"",ISNUMBER(X34)),NOT(AND(AA34&lt;&gt;"",ISNUMBER(AA34)))),"F9 Filed - F18 Not Filed",IF(AND(NOT(AND(L34&lt;&gt;"",ISNUMBER(L34))),AND(Q34&lt;&gt;"",ISNUMBER(Q34)),NOT(AND(X34&lt;&gt;"",ISNUMBER(X34))),NOT(AND(AA34&lt;&gt;"",ISNUMBER(AA34)))),"Direct CS Filed - F9 &amp; F18 Not Filed",IF(AND(AND(L34&lt;&gt;"",ISNUMBER(L34)),AND(Q34&lt;&gt;"",ISNUMBER(Q34)),NOT(AND(X34&lt;&gt;"",ISNUMBER(X34))),NOT(AND(AA34&lt;&gt;"",ISNUMBER(AA34)))),"PS-CS Filed - F9 &amp; F18 Not Filed",IF(AND(AND(L34&lt;&gt;"",ISNUMBER(L34)),NOT(AND(Q34&lt;&gt;"",ISNUMBER(Q34)))),"PS Filed - CS Not Filed","Not Started"))))))))))))))</f>
        <v>Not Started</v>
      </c>
      <c r="BI34" s="23"/>
      <c r="BJ34" s="31"/>
      <c r="BK34" s="31"/>
    </row>
    <row r="35" spans="1:63" ht="152.65">
      <c r="A35" s="13" t="s">
        <v>258</v>
      </c>
      <c r="B35" s="14" t="s">
        <v>259</v>
      </c>
      <c r="C35" s="13" t="s">
        <v>65</v>
      </c>
      <c r="D35" s="13" t="s">
        <v>67</v>
      </c>
      <c r="E35" s="15" t="s">
        <v>427</v>
      </c>
      <c r="F35" s="13" t="s">
        <v>260</v>
      </c>
      <c r="G35" s="13" t="s">
        <v>261</v>
      </c>
      <c r="H35" s="13" t="s">
        <v>262</v>
      </c>
      <c r="I35" s="13" t="s">
        <v>263</v>
      </c>
      <c r="J35" s="13" t="s">
        <v>75</v>
      </c>
      <c r="K35" s="13">
        <v>202441067416</v>
      </c>
      <c r="L35" s="17">
        <v>45541</v>
      </c>
      <c r="M35" s="18">
        <v>45722</v>
      </c>
      <c r="N35" s="13" t="s">
        <v>84</v>
      </c>
      <c r="O35" s="18" t="str">
        <f t="shared" si="0"/>
        <v>0 months left (0 days)</v>
      </c>
      <c r="P35" s="18">
        <f t="shared" si="1"/>
        <v>46087</v>
      </c>
      <c r="Q35" s="17">
        <v>46087</v>
      </c>
      <c r="R35" s="18"/>
      <c r="S35" s="17">
        <f t="shared" si="2"/>
        <v>45906</v>
      </c>
      <c r="T35" s="17">
        <v>45872</v>
      </c>
      <c r="U35" s="17">
        <f t="shared" si="3"/>
        <v>45814</v>
      </c>
      <c r="V35" s="17">
        <v>45632</v>
      </c>
      <c r="W35" s="13" t="s">
        <v>108</v>
      </c>
      <c r="X35" s="17">
        <v>46128</v>
      </c>
      <c r="Y35" s="17"/>
      <c r="Z35" s="18"/>
      <c r="AA35" s="17" t="s">
        <v>75</v>
      </c>
      <c r="AB35" s="17">
        <v>46136</v>
      </c>
      <c r="AC35" s="18" t="e">
        <f t="shared" si="7"/>
        <v>#VALUE!</v>
      </c>
      <c r="AD35" s="39" t="str">
        <f t="shared" si="4"/>
        <v>17/2026</v>
      </c>
      <c r="AE35" s="17" t="s">
        <v>75</v>
      </c>
      <c r="AF35" s="18" t="str">
        <f t="shared" si="5"/>
        <v>NA</v>
      </c>
      <c r="AG35" s="19" t="s">
        <v>75</v>
      </c>
      <c r="AH35" s="17"/>
      <c r="AI35" s="18" t="str">
        <f t="shared" si="6"/>
        <v>NA</v>
      </c>
      <c r="AJ35" s="17" t="s">
        <v>75</v>
      </c>
      <c r="AK35" s="17" t="s">
        <v>75</v>
      </c>
      <c r="AL35" s="17"/>
      <c r="AM35" s="17" t="s">
        <v>75</v>
      </c>
      <c r="AN35" s="17" t="s">
        <v>75</v>
      </c>
      <c r="AO35" s="17"/>
      <c r="AP35" s="17" t="s">
        <v>75</v>
      </c>
      <c r="AQ35" s="17" t="s">
        <v>75</v>
      </c>
      <c r="AR35" s="17" t="s">
        <v>75</v>
      </c>
      <c r="AS35" s="13" t="str">
        <f ca="1">IF(OR(S35=0, S35=""), "No F1 deadline to compare", IF(T35&gt;0, IF(T35&gt;S35, "Filed after " &amp; (T35-S35) &amp; " days of deadline", "Filed within deadline"), IF(TODAY()&gt;S35, "Delayed by " &amp; (TODAY()-S35) &amp; " days", (S35-TODAY()) &amp; " days left")))</f>
        <v>Filed within deadline</v>
      </c>
      <c r="AT35" s="21" t="str">
        <f ca="1">IF(OR(TRIM(U35)="", U35=0), "No F26 deadline to compare", IF(AND(TRIM(V35)&lt;&gt;"", ISNUMBER(V35)), IF(V35&gt;U35, "Filed after " &amp; (V35-U35) &amp; " days of deadline", "Filed within deadline"), IF(TODAY()&gt;U35, "Delayed by " &amp; (TODAY()-U35) &amp; " days", (U35-TODAY()) &amp; " days left")))</f>
        <v>Filed within deadline</v>
      </c>
      <c r="AU35" s="22"/>
      <c r="AV35" s="22"/>
      <c r="AW35" s="22"/>
      <c r="AX35" s="21"/>
      <c r="AY35" s="22"/>
      <c r="AZ35" s="22"/>
      <c r="BA35" s="22"/>
      <c r="BB35" s="21"/>
      <c r="BC35" s="21"/>
      <c r="BD35" s="21"/>
      <c r="BE35" s="21"/>
      <c r="BF35" s="21"/>
      <c r="BG35" s="21"/>
      <c r="BH35" s="13" t="str">
        <f>IF(AND(AP35&lt;&gt;"",ISNUMBER(AP35)),"Patent Refused",IF(AND(AN35&lt;&gt;"",ISNUMBER(AN35)),"Patent Granted",IF(AND(AM35&lt;&gt;"",ISNUMBER(AM35)),"WS Filed",IF(AND(AND(AK35&lt;&gt;"",ISNUMBER(AK35)),NOT(AND(AM35&lt;&gt;"",ISNUMBER(AM35)))),"Hearing Attended - WS Not Filed",IF(AND(AND(AJ35&lt;&gt;"",ISNUMBER(AJ35)),NOT(AND(AK35&lt;&gt;"",ISNUMBER(AK35)))),"Hearing Issued",IF(AND(AG35&lt;&gt;"",ISNUMBER(AG35)),"FER Reply Filed",IF(AND(AND(AE35&lt;&gt;"",ISNUMBER(AE35)),NOT(AND(AG35&lt;&gt;"",ISNUMBER(AG35)))),"FER Received - Reply Not Filed",IF(AND(AB35&lt;&gt;"",ISNUMBER(AB35)),"Published",IF(AND(AND(X35&lt;&gt;"",ISNUMBER(X35)),AND(AA35&lt;&gt;"",ISNUMBER(AA35))),"F9 &amp; F18 Filed",IF(AND(NOT(AND(X35&lt;&gt;"",ISNUMBER(X35))),AND(AA35&lt;&gt;"",ISNUMBER(AA35))),"F9 Not Filed - F18 Filed",IF(AND(AND(X35&lt;&gt;"",ISNUMBER(X35)),NOT(AND(AA35&lt;&gt;"",ISNUMBER(AA35)))),"F9 Filed - F18 Not Filed",IF(AND(NOT(AND(L35&lt;&gt;"",ISNUMBER(L35))),AND(Q35&lt;&gt;"",ISNUMBER(Q35)),NOT(AND(X35&lt;&gt;"",ISNUMBER(X35))),NOT(AND(AA35&lt;&gt;"",ISNUMBER(AA35)))),"Direct CS Filed - F9 &amp; F18 Not Filed",IF(AND(AND(L35&lt;&gt;"",ISNUMBER(L35)),AND(Q35&lt;&gt;"",ISNUMBER(Q35)),NOT(AND(X35&lt;&gt;"",ISNUMBER(X35))),NOT(AND(AA35&lt;&gt;"",ISNUMBER(AA35)))),"PS-CS Filed - F9 &amp; F18 Not Filed",IF(AND(AND(L35&lt;&gt;"",ISNUMBER(L35)),NOT(AND(Q35&lt;&gt;"",ISNUMBER(Q35)))),"PS Filed - CS Not Filed","Not Started"))))))))))))))</f>
        <v>Published</v>
      </c>
      <c r="BI35" s="23"/>
      <c r="BJ35" s="31"/>
      <c r="BK35" s="31"/>
    </row>
    <row r="36" spans="1:63" ht="409.5">
      <c r="A36" s="13" t="s">
        <v>272</v>
      </c>
      <c r="B36" s="14" t="s">
        <v>273</v>
      </c>
      <c r="C36" s="13" t="s">
        <v>81</v>
      </c>
      <c r="D36" s="13" t="s">
        <v>67</v>
      </c>
      <c r="E36" s="15" t="s">
        <v>439</v>
      </c>
      <c r="F36" s="13" t="s">
        <v>274</v>
      </c>
      <c r="G36" s="13" t="s">
        <v>275</v>
      </c>
      <c r="H36" s="13" t="s">
        <v>276</v>
      </c>
      <c r="I36" s="13" t="s">
        <v>277</v>
      </c>
      <c r="J36" s="13" t="s">
        <v>75</v>
      </c>
      <c r="K36" s="13">
        <v>202441081606</v>
      </c>
      <c r="L36" s="17">
        <v>45590</v>
      </c>
      <c r="M36" s="18">
        <v>45772</v>
      </c>
      <c r="N36" s="18"/>
      <c r="O36" s="18" t="str">
        <f t="shared" si="0"/>
        <v>0 months left (0 days)</v>
      </c>
      <c r="P36" s="18">
        <f t="shared" si="1"/>
        <v>46137</v>
      </c>
      <c r="Q36" s="17">
        <v>46137</v>
      </c>
      <c r="R36" s="18"/>
      <c r="S36" s="17">
        <f t="shared" si="2"/>
        <v>45955</v>
      </c>
      <c r="T36" s="17">
        <v>45633</v>
      </c>
      <c r="U36" s="17">
        <f t="shared" si="3"/>
        <v>45863</v>
      </c>
      <c r="V36" s="17">
        <v>45632</v>
      </c>
      <c r="W36" s="13" t="s">
        <v>108</v>
      </c>
      <c r="X36" s="17">
        <v>46217</v>
      </c>
      <c r="Y36" s="17"/>
      <c r="Z36" s="18"/>
      <c r="AA36" s="17">
        <v>46254</v>
      </c>
      <c r="AB36" s="17">
        <v>46220</v>
      </c>
      <c r="AC36" s="18" t="e">
        <f t="shared" si="7"/>
        <v>#VALUE!</v>
      </c>
      <c r="AD36" s="19" t="str">
        <f t="shared" si="4"/>
        <v>29/2026</v>
      </c>
      <c r="AE36" s="17" t="s">
        <v>75</v>
      </c>
      <c r="AF36" s="18" t="str">
        <f t="shared" si="5"/>
        <v>NA</v>
      </c>
      <c r="AG36" s="19" t="s">
        <v>75</v>
      </c>
      <c r="AH36" s="17"/>
      <c r="AI36" s="18" t="str">
        <f t="shared" si="6"/>
        <v>NA</v>
      </c>
      <c r="AJ36" s="17" t="s">
        <v>75</v>
      </c>
      <c r="AK36" s="17" t="s">
        <v>75</v>
      </c>
      <c r="AL36" s="17"/>
      <c r="AM36" s="17" t="s">
        <v>75</v>
      </c>
      <c r="AN36" s="17" t="s">
        <v>75</v>
      </c>
      <c r="AO36" s="17"/>
      <c r="AP36" s="17" t="s">
        <v>75</v>
      </c>
      <c r="AQ36" s="17" t="s">
        <v>75</v>
      </c>
      <c r="AR36" s="17" t="s">
        <v>75</v>
      </c>
      <c r="AS36" s="13" t="str">
        <f ca="1">IF(OR(S36=0, S36=""), "No F1 deadline to compare", IF(T36&gt;0, IF(T36&gt;S36, "Filed after " &amp; (T36-S36) &amp; " days of deadline", "Filed within deadline"), IF(TODAY()&gt;S36, "Delayed by " &amp; (TODAY()-S36) &amp; " days", (S36-TODAY()) &amp; " days left")))</f>
        <v>Filed within deadline</v>
      </c>
      <c r="AT36" s="21" t="str">
        <f ca="1">IF(OR(TRIM(U36)="", U36=0), "No F26 deadline to compare", IF(AND(TRIM(V36)&lt;&gt;"", ISNUMBER(V36)), IF(V36&gt;U36, "Filed after " &amp; (V36-U36) &amp; " days of deadline", "Filed within deadline"), IF(TODAY()&gt;U36, "Delayed by " &amp; (TODAY()-U36) &amp; " days", (U36-TODAY()) &amp; " days left")))</f>
        <v>Filed within deadline</v>
      </c>
      <c r="AU36" s="22"/>
      <c r="AV36" s="22"/>
      <c r="AW36" s="22"/>
      <c r="AX36" s="21"/>
      <c r="AY36" s="22"/>
      <c r="AZ36" s="22"/>
      <c r="BA36" s="22"/>
      <c r="BB36" s="21"/>
      <c r="BC36" s="21"/>
      <c r="BD36" s="21"/>
      <c r="BE36" s="21"/>
      <c r="BF36" s="21"/>
      <c r="BG36" s="21"/>
      <c r="BH36" s="13" t="str">
        <f>IF(AND(AP36&lt;&gt;"",ISNUMBER(AP36)),"Patent Refused",IF(AND(AN36&lt;&gt;"",ISNUMBER(AN36)),"Patent Granted",IF(AND(AM36&lt;&gt;"",ISNUMBER(AM36)),"WS Filed",IF(AND(AND(AK36&lt;&gt;"",ISNUMBER(AK36)),NOT(AND(AM36&lt;&gt;"",ISNUMBER(AM36)))),"Hearing Attended - WS Not Filed",IF(AND(AND(AJ36&lt;&gt;"",ISNUMBER(AJ36)),NOT(AND(AK36&lt;&gt;"",ISNUMBER(AK36)))),"Hearing Issued",IF(AND(AG36&lt;&gt;"",ISNUMBER(AG36)),"FER Reply Filed",IF(AND(AND(AE36&lt;&gt;"",ISNUMBER(AE36)),NOT(AND(AG36&lt;&gt;"",ISNUMBER(AG36)))),"FER Received - Reply Not Filed",IF(AND(AB36&lt;&gt;"",ISNUMBER(AB36)),"Published",IF(AND(AND(X36&lt;&gt;"",ISNUMBER(X36)),AND(AA36&lt;&gt;"",ISNUMBER(AA36))),"F9 &amp; F18 Filed",IF(AND(NOT(AND(X36&lt;&gt;"",ISNUMBER(X36))),AND(AA36&lt;&gt;"",ISNUMBER(AA36))),"F9 Not Filed - F18 Filed",IF(AND(AND(X36&lt;&gt;"",ISNUMBER(X36)),NOT(AND(AA36&lt;&gt;"",ISNUMBER(AA36)))),"F9 Filed - F18 Not Filed",IF(AND(NOT(AND(L36&lt;&gt;"",ISNUMBER(L36))),AND(Q36&lt;&gt;"",ISNUMBER(Q36)),NOT(AND(X36&lt;&gt;"",ISNUMBER(X36))),NOT(AND(AA36&lt;&gt;"",ISNUMBER(AA36)))),"Direct CS Filed - F9 &amp; F18 Not Filed",IF(AND(AND(L36&lt;&gt;"",ISNUMBER(L36)),AND(Q36&lt;&gt;"",ISNUMBER(Q36)),NOT(AND(X36&lt;&gt;"",ISNUMBER(X36))),NOT(AND(AA36&lt;&gt;"",ISNUMBER(AA36)))),"PS-CS Filed - F9 &amp; F18 Not Filed",IF(AND(AND(L36&lt;&gt;"",ISNUMBER(L36)),NOT(AND(Q36&lt;&gt;"",ISNUMBER(Q36)))),"PS Filed - CS Not Filed","Not Started"))))))))))))))</f>
        <v>Published</v>
      </c>
      <c r="BI36" s="23"/>
      <c r="BJ36" s="31"/>
      <c r="BK36" s="31"/>
    </row>
    <row r="37" spans="1:63" ht="409.5">
      <c r="A37" s="13" t="s">
        <v>280</v>
      </c>
      <c r="B37" s="14" t="s">
        <v>281</v>
      </c>
      <c r="C37" s="13" t="s">
        <v>81</v>
      </c>
      <c r="D37" s="13" t="s">
        <v>67</v>
      </c>
      <c r="E37" s="15" t="s">
        <v>439</v>
      </c>
      <c r="F37" s="13" t="s">
        <v>282</v>
      </c>
      <c r="G37" s="13" t="s">
        <v>283</v>
      </c>
      <c r="H37" s="13" t="s">
        <v>276</v>
      </c>
      <c r="I37" s="13" t="s">
        <v>277</v>
      </c>
      <c r="J37" s="13" t="s">
        <v>75</v>
      </c>
      <c r="K37" s="13">
        <v>202441094357</v>
      </c>
      <c r="L37" s="17">
        <v>45627</v>
      </c>
      <c r="M37" s="18"/>
      <c r="N37" s="18"/>
      <c r="O37" s="18" t="str">
        <f t="shared" si="0"/>
        <v>Not yet Postdated</v>
      </c>
      <c r="P37" s="18">
        <f t="shared" si="1"/>
        <v>45992</v>
      </c>
      <c r="Q37" s="17">
        <v>45992</v>
      </c>
      <c r="R37" s="18"/>
      <c r="S37" s="17">
        <f t="shared" si="2"/>
        <v>45809</v>
      </c>
      <c r="T37" s="17">
        <v>45633</v>
      </c>
      <c r="U37" s="17">
        <f t="shared" si="3"/>
        <v>45717</v>
      </c>
      <c r="V37" s="17">
        <v>45680</v>
      </c>
      <c r="W37" s="13" t="s">
        <v>108</v>
      </c>
      <c r="X37" s="17">
        <v>46000</v>
      </c>
      <c r="Y37" s="17"/>
      <c r="Z37" s="18"/>
      <c r="AA37" s="17">
        <v>46176</v>
      </c>
      <c r="AB37" s="17">
        <v>46003</v>
      </c>
      <c r="AC37" s="18" t="e">
        <f t="shared" si="7"/>
        <v>#VALUE!</v>
      </c>
      <c r="AD37" s="19" t="str">
        <f t="shared" si="4"/>
        <v>50/2025</v>
      </c>
      <c r="AE37" s="17" t="s">
        <v>75</v>
      </c>
      <c r="AF37" s="18" t="str">
        <f t="shared" si="5"/>
        <v>NA</v>
      </c>
      <c r="AG37" s="19" t="s">
        <v>75</v>
      </c>
      <c r="AH37" s="17"/>
      <c r="AI37" s="18" t="str">
        <f t="shared" si="6"/>
        <v>NA</v>
      </c>
      <c r="AJ37" s="17" t="s">
        <v>75</v>
      </c>
      <c r="AK37" s="17" t="s">
        <v>75</v>
      </c>
      <c r="AL37" s="17"/>
      <c r="AM37" s="17" t="s">
        <v>75</v>
      </c>
      <c r="AN37" s="17" t="s">
        <v>75</v>
      </c>
      <c r="AO37" s="17"/>
      <c r="AP37" s="17" t="s">
        <v>75</v>
      </c>
      <c r="AQ37" s="17" t="s">
        <v>75</v>
      </c>
      <c r="AR37" s="17" t="s">
        <v>75</v>
      </c>
      <c r="AS37" s="13" t="str">
        <f ca="1">IF(OR(S37=0, S37=""), "No F1 deadline to compare", IF(T37&gt;0, IF(T37&gt;S37, "Filed after " &amp; (T37-S37) &amp; " days of deadline", "Filed within deadline"), IF(TODAY()&gt;S37, "Delayed by " &amp; (TODAY()-S37) &amp; " days", (S37-TODAY()) &amp; " days left")))</f>
        <v>Filed within deadline</v>
      </c>
      <c r="AT37" s="21" t="str">
        <f ca="1">IF(OR(TRIM(U37)="", U37=0), "No F26 deadline to compare", IF(AND(TRIM(V37)&lt;&gt;"", ISNUMBER(V37)), IF(V37&gt;U37, "Filed after " &amp; (V37-U37) &amp; " days of deadline", "Filed within deadline"), IF(TODAY()&gt;U37, "Delayed by " &amp; (TODAY()-U37) &amp; " days", (U37-TODAY()) &amp; " days left")))</f>
        <v>Filed within deadline</v>
      </c>
      <c r="AU37" s="22"/>
      <c r="AV37" s="22"/>
      <c r="AW37" s="22"/>
      <c r="AX37" s="21"/>
      <c r="AY37" s="22"/>
      <c r="AZ37" s="22"/>
      <c r="BA37" s="22"/>
      <c r="BB37" s="21"/>
      <c r="BC37" s="21"/>
      <c r="BD37" s="21"/>
      <c r="BE37" s="21"/>
      <c r="BF37" s="21"/>
      <c r="BG37" s="21"/>
      <c r="BH37" s="13" t="str">
        <f>IF(AND(AP37&lt;&gt;"",ISNUMBER(AP37)),"Patent Refused",IF(AND(AN37&lt;&gt;"",ISNUMBER(AN37)),"Patent Granted",IF(AND(AM37&lt;&gt;"",ISNUMBER(AM37)),"WS Filed",IF(AND(AND(AK37&lt;&gt;"",ISNUMBER(AK37)),NOT(AND(AM37&lt;&gt;"",ISNUMBER(AM37)))),"Hearing Attended - WS Not Filed",IF(AND(AND(AJ37&lt;&gt;"",ISNUMBER(AJ37)),NOT(AND(AK37&lt;&gt;"",ISNUMBER(AK37)))),"Hearing Issued",IF(AND(AG37&lt;&gt;"",ISNUMBER(AG37)),"FER Reply Filed",IF(AND(AND(AE37&lt;&gt;"",ISNUMBER(AE37)),NOT(AND(AG37&lt;&gt;"",ISNUMBER(AG37)))),"FER Received - Reply Not Filed",IF(AND(AB37&lt;&gt;"",ISNUMBER(AB37)),"Published",IF(AND(AND(X37&lt;&gt;"",ISNUMBER(X37)),AND(AA37&lt;&gt;"",ISNUMBER(AA37))),"F9 &amp; F18 Filed",IF(AND(NOT(AND(X37&lt;&gt;"",ISNUMBER(X37))),AND(AA37&lt;&gt;"",ISNUMBER(AA37))),"F9 Not Filed - F18 Filed",IF(AND(AND(X37&lt;&gt;"",ISNUMBER(X37)),NOT(AND(AA37&lt;&gt;"",ISNUMBER(AA37)))),"F9 Filed - F18 Not Filed",IF(AND(NOT(AND(L37&lt;&gt;"",ISNUMBER(L37))),AND(Q37&lt;&gt;"",ISNUMBER(Q37)),NOT(AND(X37&lt;&gt;"",ISNUMBER(X37))),NOT(AND(AA37&lt;&gt;"",ISNUMBER(AA37)))),"Direct CS Filed - F9 &amp; F18 Not Filed",IF(AND(AND(L37&lt;&gt;"",ISNUMBER(L37)),AND(Q37&lt;&gt;"",ISNUMBER(Q37)),NOT(AND(X37&lt;&gt;"",ISNUMBER(X37))),NOT(AND(AA37&lt;&gt;"",ISNUMBER(AA37)))),"PS-CS Filed - F9 &amp; F18 Not Filed",IF(AND(AND(L37&lt;&gt;"",ISNUMBER(L37)),NOT(AND(Q37&lt;&gt;"",ISNUMBER(Q37)))),"PS Filed - CS Not Filed","Not Started"))))))))))))))</f>
        <v>Published</v>
      </c>
      <c r="BI37" s="23"/>
      <c r="BJ37" s="31"/>
      <c r="BK37" s="31"/>
    </row>
    <row r="38" spans="1:63" ht="83.25">
      <c r="A38" s="13" t="s">
        <v>286</v>
      </c>
      <c r="B38" s="14" t="s">
        <v>287</v>
      </c>
      <c r="C38" s="13" t="s">
        <v>96</v>
      </c>
      <c r="D38" s="13" t="s">
        <v>67</v>
      </c>
      <c r="E38" s="15" t="s">
        <v>459</v>
      </c>
      <c r="F38" s="13" t="s">
        <v>288</v>
      </c>
      <c r="G38" s="13" t="s">
        <v>289</v>
      </c>
      <c r="H38" s="13" t="s">
        <v>290</v>
      </c>
      <c r="I38" s="13" t="s">
        <v>291</v>
      </c>
      <c r="J38" s="13" t="s">
        <v>75</v>
      </c>
      <c r="K38" s="13">
        <v>202441083884</v>
      </c>
      <c r="L38" s="17">
        <v>45598</v>
      </c>
      <c r="M38" s="18">
        <v>45618</v>
      </c>
      <c r="N38" s="18"/>
      <c r="O38" s="18" t="str">
        <f t="shared" si="0"/>
        <v>6 months left (161 days)</v>
      </c>
      <c r="P38" s="18">
        <f t="shared" si="1"/>
        <v>45983</v>
      </c>
      <c r="Q38" s="17">
        <v>45973</v>
      </c>
      <c r="R38" s="18"/>
      <c r="S38" s="17">
        <f t="shared" si="2"/>
        <v>45799</v>
      </c>
      <c r="T38" s="17">
        <v>45601</v>
      </c>
      <c r="U38" s="17">
        <f t="shared" si="3"/>
        <v>45710</v>
      </c>
      <c r="V38" s="17">
        <v>45632</v>
      </c>
      <c r="W38" s="13" t="s">
        <v>89</v>
      </c>
      <c r="X38" s="17" t="s">
        <v>166</v>
      </c>
      <c r="Y38" s="17"/>
      <c r="Z38" s="18"/>
      <c r="AA38" s="17" t="s">
        <v>166</v>
      </c>
      <c r="AB38" s="17">
        <v>46171</v>
      </c>
      <c r="AC38" s="18" t="e">
        <f t="shared" si="7"/>
        <v>#VALUE!</v>
      </c>
      <c r="AD38" s="19" t="str">
        <f t="shared" si="4"/>
        <v>22/2026</v>
      </c>
      <c r="AE38" s="17" t="s">
        <v>75</v>
      </c>
      <c r="AF38" s="18" t="str">
        <f t="shared" si="5"/>
        <v>NA</v>
      </c>
      <c r="AG38" s="19" t="s">
        <v>75</v>
      </c>
      <c r="AH38" s="17"/>
      <c r="AI38" s="18" t="str">
        <f t="shared" si="6"/>
        <v>NA</v>
      </c>
      <c r="AJ38" s="17" t="s">
        <v>75</v>
      </c>
      <c r="AK38" s="17" t="s">
        <v>75</v>
      </c>
      <c r="AL38" s="17"/>
      <c r="AM38" s="17" t="s">
        <v>75</v>
      </c>
      <c r="AN38" s="17" t="s">
        <v>75</v>
      </c>
      <c r="AO38" s="17"/>
      <c r="AP38" s="17" t="s">
        <v>75</v>
      </c>
      <c r="AQ38" s="17" t="s">
        <v>75</v>
      </c>
      <c r="AR38" s="17" t="s">
        <v>75</v>
      </c>
      <c r="AS38" s="13" t="str">
        <f ca="1">IF(OR(S38=0, S38=""), "No F1 deadline to compare", IF(T38&gt;0, IF(T38&gt;S38, "Filed after " &amp; (T38-S38) &amp; " days of deadline", "Filed within deadline"), IF(TODAY()&gt;S38, "Delayed by " &amp; (TODAY()-S38) &amp; " days", (S38-TODAY()) &amp; " days left")))</f>
        <v>Filed within deadline</v>
      </c>
      <c r="AT38" s="21" t="str">
        <f ca="1">IF(OR(TRIM(U38)="", U38=0), "No F26 deadline to compare", IF(AND(TRIM(V38)&lt;&gt;"", ISNUMBER(V38)), IF(V38&gt;U38, "Filed after " &amp; (V38-U38) &amp; " days of deadline", "Filed within deadline"), IF(TODAY()&gt;U38, "Delayed by " &amp; (TODAY()-U38) &amp; " days", (U38-TODAY()) &amp; " days left")))</f>
        <v>Filed within deadline</v>
      </c>
      <c r="AU38" s="22"/>
      <c r="AV38" s="22"/>
      <c r="AW38" s="22"/>
      <c r="AX38" s="21"/>
      <c r="AY38" s="22"/>
      <c r="AZ38" s="22"/>
      <c r="BA38" s="22"/>
      <c r="BB38" s="21"/>
      <c r="BC38" s="21"/>
      <c r="BD38" s="21"/>
      <c r="BE38" s="21"/>
      <c r="BF38" s="21"/>
      <c r="BG38" s="21"/>
      <c r="BH38" s="13" t="str">
        <f>IF(AND(AP38&lt;&gt;"",ISNUMBER(AP38)),"Patent Refused",IF(AND(AN38&lt;&gt;"",ISNUMBER(AN38)),"Patent Granted",IF(AND(AM38&lt;&gt;"",ISNUMBER(AM38)),"WS Filed",IF(AND(AND(AK38&lt;&gt;"",ISNUMBER(AK38)),NOT(AND(AM38&lt;&gt;"",ISNUMBER(AM38)))),"Hearing Attended - WS Not Filed",IF(AND(AND(AJ38&lt;&gt;"",ISNUMBER(AJ38)),NOT(AND(AK38&lt;&gt;"",ISNUMBER(AK38)))),"Hearing Issued",IF(AND(AG38&lt;&gt;"",ISNUMBER(AG38)),"FER Reply Filed",IF(AND(AND(AE38&lt;&gt;"",ISNUMBER(AE38)),NOT(AND(AG38&lt;&gt;"",ISNUMBER(AG38)))),"FER Received - Reply Not Filed",IF(AND(AB38&lt;&gt;"",ISNUMBER(AB38)),"Published",IF(AND(AND(X38&lt;&gt;"",ISNUMBER(X38)),AND(AA38&lt;&gt;"",ISNUMBER(AA38))),"F9 &amp; F18 Filed",IF(AND(NOT(AND(X38&lt;&gt;"",ISNUMBER(X38))),AND(AA38&lt;&gt;"",ISNUMBER(AA38))),"F9 Not Filed - F18 Filed",IF(AND(AND(X38&lt;&gt;"",ISNUMBER(X38)),NOT(AND(AA38&lt;&gt;"",ISNUMBER(AA38)))),"F9 Filed - F18 Not Filed",IF(AND(NOT(AND(L38&lt;&gt;"",ISNUMBER(L38))),AND(Q38&lt;&gt;"",ISNUMBER(Q38)),NOT(AND(X38&lt;&gt;"",ISNUMBER(X38))),NOT(AND(AA38&lt;&gt;"",ISNUMBER(AA38)))),"Direct CS Filed - F9 &amp; F18 Not Filed",IF(AND(AND(L38&lt;&gt;"",ISNUMBER(L38)),AND(Q38&lt;&gt;"",ISNUMBER(Q38)),NOT(AND(X38&lt;&gt;"",ISNUMBER(X38))),NOT(AND(AA38&lt;&gt;"",ISNUMBER(AA38)))),"PS-CS Filed - F9 &amp; F18 Not Filed",IF(AND(AND(L38&lt;&gt;"",ISNUMBER(L38)),NOT(AND(Q38&lt;&gt;"",ISNUMBER(Q38)))),"PS Filed - CS Not Filed","Not Started"))))))))))))))</f>
        <v>Published</v>
      </c>
      <c r="BI38" s="23"/>
      <c r="BJ38" s="31"/>
      <c r="BK38" s="31"/>
    </row>
    <row r="39" spans="1:63" ht="305.25">
      <c r="A39" s="13" t="s">
        <v>210</v>
      </c>
      <c r="B39" s="14" t="s">
        <v>211</v>
      </c>
      <c r="C39" s="13" t="s">
        <v>81</v>
      </c>
      <c r="D39" s="13" t="s">
        <v>67</v>
      </c>
      <c r="E39" s="15" t="s">
        <v>464</v>
      </c>
      <c r="F39" s="13" t="s">
        <v>212</v>
      </c>
      <c r="G39" s="13" t="s">
        <v>213</v>
      </c>
      <c r="H39" s="13" t="s">
        <v>214</v>
      </c>
      <c r="I39" s="13" t="s">
        <v>215</v>
      </c>
      <c r="J39" s="13" t="s">
        <v>75</v>
      </c>
      <c r="K39" s="13">
        <v>202441098025</v>
      </c>
      <c r="L39" s="17"/>
      <c r="M39" s="18"/>
      <c r="N39" s="18"/>
      <c r="O39" s="18" t="str">
        <f t="shared" si="0"/>
        <v>PS Not yet filed</v>
      </c>
      <c r="P39" s="18" t="str">
        <f t="shared" si="1"/>
        <v/>
      </c>
      <c r="Q39" s="17">
        <v>45637</v>
      </c>
      <c r="R39" s="18"/>
      <c r="S39" s="17">
        <f t="shared" si="2"/>
        <v>45819</v>
      </c>
      <c r="T39" s="17">
        <v>45744</v>
      </c>
      <c r="U39" s="17">
        <f t="shared" si="3"/>
        <v>45727</v>
      </c>
      <c r="V39" s="17">
        <v>45680</v>
      </c>
      <c r="W39" s="13" t="s">
        <v>108</v>
      </c>
      <c r="X39" s="17">
        <v>45644</v>
      </c>
      <c r="Y39" s="17"/>
      <c r="Z39" s="18"/>
      <c r="AA39" s="17">
        <v>45644</v>
      </c>
      <c r="AB39" s="17">
        <v>45646</v>
      </c>
      <c r="AC39" s="18" t="e">
        <f t="shared" si="7"/>
        <v>#VALUE!</v>
      </c>
      <c r="AD39" s="19" t="str">
        <f t="shared" si="4"/>
        <v>51/2024</v>
      </c>
      <c r="AE39" s="17" t="s">
        <v>75</v>
      </c>
      <c r="AF39" s="18" t="str">
        <f t="shared" si="5"/>
        <v>NA</v>
      </c>
      <c r="AG39" s="19" t="s">
        <v>75</v>
      </c>
      <c r="AH39" s="17"/>
      <c r="AI39" s="18" t="str">
        <f t="shared" si="6"/>
        <v>NA</v>
      </c>
      <c r="AJ39" s="17" t="s">
        <v>75</v>
      </c>
      <c r="AK39" s="17" t="s">
        <v>75</v>
      </c>
      <c r="AL39" s="17"/>
      <c r="AM39" s="17" t="s">
        <v>75</v>
      </c>
      <c r="AN39" s="17" t="s">
        <v>75</v>
      </c>
      <c r="AO39" s="17"/>
      <c r="AP39" s="17" t="s">
        <v>75</v>
      </c>
      <c r="AQ39" s="17" t="s">
        <v>75</v>
      </c>
      <c r="AR39" s="17" t="s">
        <v>75</v>
      </c>
      <c r="AS39" s="13" t="str">
        <f ca="1">IF(OR(S39=0, S39=""), "No F1 deadline to compare", IF(T39&gt;0, IF(T39&gt;S39, "Filed after " &amp; (T39-S39) &amp; " days of deadline", "Filed within deadline"), IF(TODAY()&gt;S39, "Delayed by " &amp; (TODAY()-S39) &amp; " days", (S39-TODAY()) &amp; " days left")))</f>
        <v>Filed within deadline</v>
      </c>
      <c r="AT39" s="21" t="str">
        <f ca="1">IF(OR(TRIM(U39)="", U39=0), "No F26 deadline to compare", IF(AND(TRIM(V39)&lt;&gt;"", ISNUMBER(V39)), IF(V39&gt;U39, "Filed after " &amp; (V39-U39) &amp; " days of deadline", "Filed within deadline"), IF(TODAY()&gt;U39, "Delayed by " &amp; (TODAY()-U39) &amp; " days", (U39-TODAY()) &amp; " days left")))</f>
        <v>Filed within deadline</v>
      </c>
      <c r="AU39" s="22"/>
      <c r="AV39" s="22"/>
      <c r="AW39" s="22"/>
      <c r="AX39" s="21"/>
      <c r="AY39" s="22"/>
      <c r="AZ39" s="22"/>
      <c r="BA39" s="22"/>
      <c r="BB39" s="21"/>
      <c r="BC39" s="21"/>
      <c r="BD39" s="21"/>
      <c r="BE39" s="21"/>
      <c r="BF39" s="21"/>
      <c r="BG39" s="21"/>
      <c r="BH39" s="13" t="str">
        <f>IF(AND(AP39&lt;&gt;"",ISNUMBER(AP39)),"Patent Refused",IF(AND(AN39&lt;&gt;"",ISNUMBER(AN39)),"Patent Granted",IF(AND(AM39&lt;&gt;"",ISNUMBER(AM39)),"WS Filed",IF(AND(AND(AK39&lt;&gt;"",ISNUMBER(AK39)),NOT(AND(AM39&lt;&gt;"",ISNUMBER(AM39)))),"Hearing Attended - WS Not Filed",IF(AND(AND(AJ39&lt;&gt;"",ISNUMBER(AJ39)),NOT(AND(AK39&lt;&gt;"",ISNUMBER(AK39)))),"Hearing Issued",IF(AND(AG39&lt;&gt;"",ISNUMBER(AG39)),"FER Reply Filed",IF(AND(AND(AE39&lt;&gt;"",ISNUMBER(AE39)),NOT(AND(AG39&lt;&gt;"",ISNUMBER(AG39)))),"FER Received - Reply Not Filed",IF(AND(AB39&lt;&gt;"",ISNUMBER(AB39)),"Published",IF(AND(AND(X39&lt;&gt;"",ISNUMBER(X39)),AND(AA39&lt;&gt;"",ISNUMBER(AA39))),"F9 &amp; F18 Filed",IF(AND(NOT(AND(X39&lt;&gt;"",ISNUMBER(X39))),AND(AA39&lt;&gt;"",ISNUMBER(AA39))),"F9 Not Filed - F18 Filed",IF(AND(AND(X39&lt;&gt;"",ISNUMBER(X39)),NOT(AND(AA39&lt;&gt;"",ISNUMBER(AA39)))),"F9 Filed - F18 Not Filed",IF(AND(NOT(AND(L39&lt;&gt;"",ISNUMBER(L39))),AND(Q39&lt;&gt;"",ISNUMBER(Q39)),NOT(AND(X39&lt;&gt;"",ISNUMBER(X39))),NOT(AND(AA39&lt;&gt;"",ISNUMBER(AA39)))),"Direct CS Filed - F9 &amp; F18 Not Filed",IF(AND(AND(L39&lt;&gt;"",ISNUMBER(L39)),AND(Q39&lt;&gt;"",ISNUMBER(Q39)),NOT(AND(X39&lt;&gt;"",ISNUMBER(X39))),NOT(AND(AA39&lt;&gt;"",ISNUMBER(AA39)))),"PS-CS Filed - F9 &amp; F18 Not Filed",IF(AND(AND(L39&lt;&gt;"",ISNUMBER(L39)),NOT(AND(Q39&lt;&gt;"",ISNUMBER(Q39)))),"PS Filed - CS Not Filed","Not Started"))))))))))))))</f>
        <v>Published</v>
      </c>
      <c r="BI39" s="23"/>
      <c r="BJ39" s="31"/>
      <c r="BK39" s="31"/>
    </row>
    <row r="40" spans="1:63" ht="346.9">
      <c r="A40" s="13" t="s">
        <v>223</v>
      </c>
      <c r="B40" s="14" t="s">
        <v>224</v>
      </c>
      <c r="C40" s="13" t="s">
        <v>96</v>
      </c>
      <c r="D40" s="13" t="s">
        <v>67</v>
      </c>
      <c r="E40" s="15" t="s">
        <v>464</v>
      </c>
      <c r="F40" s="13" t="s">
        <v>228</v>
      </c>
      <c r="G40" s="13" t="s">
        <v>213</v>
      </c>
      <c r="H40" s="13" t="s">
        <v>214</v>
      </c>
      <c r="I40" s="13" t="s">
        <v>215</v>
      </c>
      <c r="J40" s="13" t="s">
        <v>75</v>
      </c>
      <c r="K40" s="13">
        <v>202541005428</v>
      </c>
      <c r="L40" s="17"/>
      <c r="M40" s="18"/>
      <c r="N40" s="18"/>
      <c r="O40" s="18" t="str">
        <f t="shared" si="0"/>
        <v>PS Not yet filed</v>
      </c>
      <c r="P40" s="18" t="str">
        <f t="shared" si="1"/>
        <v/>
      </c>
      <c r="Q40" s="17">
        <v>45680</v>
      </c>
      <c r="R40" s="18"/>
      <c r="S40" s="17">
        <f t="shared" si="2"/>
        <v>45861</v>
      </c>
      <c r="T40" s="17">
        <v>45744</v>
      </c>
      <c r="U40" s="17">
        <f t="shared" si="3"/>
        <v>45770</v>
      </c>
      <c r="V40" s="17">
        <v>45755</v>
      </c>
      <c r="W40" s="13" t="s">
        <v>89</v>
      </c>
      <c r="X40" s="17">
        <v>45735</v>
      </c>
      <c r="Y40" s="17"/>
      <c r="Z40" s="18"/>
      <c r="AA40" s="17">
        <v>45735</v>
      </c>
      <c r="AB40" s="17">
        <v>45737</v>
      </c>
      <c r="AC40" s="18" t="e">
        <f t="shared" si="7"/>
        <v>#VALUE!</v>
      </c>
      <c r="AD40" s="19" t="str">
        <f t="shared" si="4"/>
        <v>12/2025</v>
      </c>
      <c r="AE40" s="17" t="s">
        <v>75</v>
      </c>
      <c r="AF40" s="18" t="str">
        <f t="shared" si="5"/>
        <v>NA</v>
      </c>
      <c r="AG40" s="19" t="s">
        <v>75</v>
      </c>
      <c r="AH40" s="17"/>
      <c r="AI40" s="18" t="str">
        <f t="shared" si="6"/>
        <v>NA</v>
      </c>
      <c r="AJ40" s="17" t="s">
        <v>75</v>
      </c>
      <c r="AK40" s="17" t="s">
        <v>75</v>
      </c>
      <c r="AL40" s="17"/>
      <c r="AM40" s="17" t="s">
        <v>75</v>
      </c>
      <c r="AN40" s="17" t="s">
        <v>75</v>
      </c>
      <c r="AO40" s="17"/>
      <c r="AP40" s="17" t="s">
        <v>75</v>
      </c>
      <c r="AQ40" s="17" t="s">
        <v>75</v>
      </c>
      <c r="AR40" s="17" t="s">
        <v>75</v>
      </c>
      <c r="AS40" s="13" t="str">
        <f ca="1">IF(OR(S40=0, S40=""), "No F1 deadline to compare", IF(T40&gt;0, IF(T40&gt;S40, "Filed after " &amp; (T40-S40) &amp; " days of deadline", "Filed within deadline"), IF(TODAY()&gt;S40, "Delayed by " &amp; (TODAY()-S40) &amp; " days", (S40-TODAY()) &amp; " days left")))</f>
        <v>Filed within deadline</v>
      </c>
      <c r="AT40" s="21" t="str">
        <f ca="1">IF(OR(TRIM(U40)="", U40=0), "No F26 deadline to compare", IF(AND(TRIM(V40)&lt;&gt;"", ISNUMBER(V40)), IF(V40&gt;U40, "Filed after " &amp; (V40-U40) &amp; " days of deadline", "Filed within deadline"), IF(TODAY()&gt;U40, "Delayed by " &amp; (TODAY()-U40) &amp; " days", (U40-TODAY()) &amp; " days left")))</f>
        <v>Filed within deadline</v>
      </c>
      <c r="AU40" s="22"/>
      <c r="AV40" s="22"/>
      <c r="AW40" s="22"/>
      <c r="AX40" s="21"/>
      <c r="AY40" s="22"/>
      <c r="AZ40" s="22"/>
      <c r="BA40" s="22"/>
      <c r="BB40" s="21"/>
      <c r="BC40" s="21"/>
      <c r="BD40" s="21"/>
      <c r="BE40" s="21"/>
      <c r="BF40" s="21"/>
      <c r="BG40" s="21"/>
      <c r="BH40" s="13" t="str">
        <f>IF(AND(AP40&lt;&gt;"",ISNUMBER(AP40)),"Patent Refused",IF(AND(AN40&lt;&gt;"",ISNUMBER(AN40)),"Patent Granted",IF(AND(AM40&lt;&gt;"",ISNUMBER(AM40)),"WS Filed",IF(AND(AND(AK40&lt;&gt;"",ISNUMBER(AK40)),NOT(AND(AM40&lt;&gt;"",ISNUMBER(AM40)))),"Hearing Attended - WS Not Filed",IF(AND(AND(AJ40&lt;&gt;"",ISNUMBER(AJ40)),NOT(AND(AK40&lt;&gt;"",ISNUMBER(AK40)))),"Hearing Issued",IF(AND(AG40&lt;&gt;"",ISNUMBER(AG40)),"FER Reply Filed",IF(AND(AND(AE40&lt;&gt;"",ISNUMBER(AE40)),NOT(AND(AG40&lt;&gt;"",ISNUMBER(AG40)))),"FER Received - Reply Not Filed",IF(AND(AB40&lt;&gt;"",ISNUMBER(AB40)),"Published",IF(AND(AND(X40&lt;&gt;"",ISNUMBER(X40)),AND(AA40&lt;&gt;"",ISNUMBER(AA40))),"F9 &amp; F18 Filed",IF(AND(NOT(AND(X40&lt;&gt;"",ISNUMBER(X40))),AND(AA40&lt;&gt;"",ISNUMBER(AA40))),"F9 Not Filed - F18 Filed",IF(AND(AND(X40&lt;&gt;"",ISNUMBER(X40)),NOT(AND(AA40&lt;&gt;"",ISNUMBER(AA40)))),"F9 Filed - F18 Not Filed",IF(AND(NOT(AND(L40&lt;&gt;"",ISNUMBER(L40))),AND(Q40&lt;&gt;"",ISNUMBER(Q40)),NOT(AND(X40&lt;&gt;"",ISNUMBER(X40))),NOT(AND(AA40&lt;&gt;"",ISNUMBER(AA40)))),"Direct CS Filed - F9 &amp; F18 Not Filed",IF(AND(AND(L40&lt;&gt;"",ISNUMBER(L40)),AND(Q40&lt;&gt;"",ISNUMBER(Q40)),NOT(AND(X40&lt;&gt;"",ISNUMBER(X40))),NOT(AND(AA40&lt;&gt;"",ISNUMBER(AA40)))),"PS-CS Filed - F9 &amp; F18 Not Filed",IF(AND(AND(L40&lt;&gt;"",ISNUMBER(L40)),NOT(AND(Q40&lt;&gt;"",ISNUMBER(Q40)))),"PS Filed - CS Not Filed","Not Started"))))))))))))))</f>
        <v>Published</v>
      </c>
      <c r="BI40" s="23"/>
      <c r="BJ40" s="31"/>
      <c r="BK40" s="31"/>
    </row>
    <row r="41" spans="1:63" ht="346.9">
      <c r="A41" s="13" t="s">
        <v>232</v>
      </c>
      <c r="B41" s="14" t="s">
        <v>236</v>
      </c>
      <c r="C41" s="13" t="s">
        <v>65</v>
      </c>
      <c r="D41" s="13" t="s">
        <v>67</v>
      </c>
      <c r="E41" s="15" t="s">
        <v>464</v>
      </c>
      <c r="F41" s="13" t="s">
        <v>239</v>
      </c>
      <c r="G41" s="13" t="s">
        <v>240</v>
      </c>
      <c r="H41" s="13" t="s">
        <v>241</v>
      </c>
      <c r="I41" s="13" t="s">
        <v>215</v>
      </c>
      <c r="J41" s="13" t="s">
        <v>75</v>
      </c>
      <c r="K41" s="13">
        <v>202541020597</v>
      </c>
      <c r="L41" s="17"/>
      <c r="M41" s="18"/>
      <c r="N41" s="18"/>
      <c r="O41" s="18" t="str">
        <f t="shared" si="0"/>
        <v>PS Not yet filed</v>
      </c>
      <c r="P41" s="18" t="str">
        <f t="shared" si="1"/>
        <v/>
      </c>
      <c r="Q41" s="17">
        <v>45722</v>
      </c>
      <c r="R41" s="18"/>
      <c r="S41" s="17">
        <f t="shared" si="2"/>
        <v>45906</v>
      </c>
      <c r="T41" s="17">
        <v>45744</v>
      </c>
      <c r="U41" s="17">
        <f t="shared" si="3"/>
        <v>45814</v>
      </c>
      <c r="V41" s="17">
        <v>45755</v>
      </c>
      <c r="W41" s="13" t="s">
        <v>108</v>
      </c>
      <c r="X41" s="17">
        <v>45736</v>
      </c>
      <c r="Y41" s="17"/>
      <c r="Z41" s="18"/>
      <c r="AA41" s="17">
        <v>45736</v>
      </c>
      <c r="AB41" s="17">
        <v>45744</v>
      </c>
      <c r="AC41" s="18" t="e">
        <f t="shared" si="7"/>
        <v>#VALUE!</v>
      </c>
      <c r="AD41" s="19" t="str">
        <f t="shared" si="4"/>
        <v>13/2025</v>
      </c>
      <c r="AE41" s="17" t="s">
        <v>75</v>
      </c>
      <c r="AF41" s="18" t="str">
        <f t="shared" si="5"/>
        <v>NA</v>
      </c>
      <c r="AG41" s="19" t="s">
        <v>75</v>
      </c>
      <c r="AH41" s="17"/>
      <c r="AI41" s="18" t="str">
        <f t="shared" si="6"/>
        <v>NA</v>
      </c>
      <c r="AJ41" s="17" t="s">
        <v>75</v>
      </c>
      <c r="AK41" s="17" t="s">
        <v>75</v>
      </c>
      <c r="AL41" s="17"/>
      <c r="AM41" s="17" t="s">
        <v>75</v>
      </c>
      <c r="AN41" s="17" t="s">
        <v>75</v>
      </c>
      <c r="AO41" s="17"/>
      <c r="AP41" s="17" t="s">
        <v>75</v>
      </c>
      <c r="AQ41" s="17" t="s">
        <v>75</v>
      </c>
      <c r="AR41" s="17" t="s">
        <v>75</v>
      </c>
      <c r="AS41" s="13" t="str">
        <f ca="1">IF(OR(S41=0, S41=""), "No F1 deadline to compare", IF(T41&gt;0, IF(T41&gt;S41, "Filed after " &amp; (T41-S41) &amp; " days of deadline", "Filed within deadline"), IF(TODAY()&gt;S41, "Delayed by " &amp; (TODAY()-S41) &amp; " days", (S41-TODAY()) &amp; " days left")))</f>
        <v>Filed within deadline</v>
      </c>
      <c r="AT41" s="21" t="str">
        <f ca="1">IF(OR(TRIM(U41)="", U41=0), "No F26 deadline to compare", IF(AND(TRIM(V41)&lt;&gt;"", ISNUMBER(V41)), IF(V41&gt;U41, "Filed after " &amp; (V41-U41) &amp; " days of deadline", "Filed within deadline"), IF(TODAY()&gt;U41, "Delayed by " &amp; (TODAY()-U41) &amp; " days", (U41-TODAY()) &amp; " days left")))</f>
        <v>Filed within deadline</v>
      </c>
      <c r="AU41" s="22"/>
      <c r="AV41" s="22"/>
      <c r="AW41" s="22"/>
      <c r="AX41" s="21"/>
      <c r="AY41" s="22"/>
      <c r="AZ41" s="22"/>
      <c r="BA41" s="22"/>
      <c r="BB41" s="21"/>
      <c r="BC41" s="21"/>
      <c r="BD41" s="21"/>
      <c r="BE41" s="21"/>
      <c r="BF41" s="21"/>
      <c r="BG41" s="21"/>
      <c r="BH41" s="13" t="str">
        <f>IF(AND(AP41&lt;&gt;"",ISNUMBER(AP41)),"Patent Refused",IF(AND(AN41&lt;&gt;"",ISNUMBER(AN41)),"Patent Granted",IF(AND(AM41&lt;&gt;"",ISNUMBER(AM41)),"WS Filed",IF(AND(AND(AK41&lt;&gt;"",ISNUMBER(AK41)),NOT(AND(AM41&lt;&gt;"",ISNUMBER(AM41)))),"Hearing Attended - WS Not Filed",IF(AND(AND(AJ41&lt;&gt;"",ISNUMBER(AJ41)),NOT(AND(AK41&lt;&gt;"",ISNUMBER(AK41)))),"Hearing Issued",IF(AND(AG41&lt;&gt;"",ISNUMBER(AG41)),"FER Reply Filed",IF(AND(AND(AE41&lt;&gt;"",ISNUMBER(AE41)),NOT(AND(AG41&lt;&gt;"",ISNUMBER(AG41)))),"FER Received - Reply Not Filed",IF(AND(AB41&lt;&gt;"",ISNUMBER(AB41)),"Published",IF(AND(AND(X41&lt;&gt;"",ISNUMBER(X41)),AND(AA41&lt;&gt;"",ISNUMBER(AA41))),"F9 &amp; F18 Filed",IF(AND(NOT(AND(X41&lt;&gt;"",ISNUMBER(X41))),AND(AA41&lt;&gt;"",ISNUMBER(AA41))),"F9 Not Filed - F18 Filed",IF(AND(AND(X41&lt;&gt;"",ISNUMBER(X41)),NOT(AND(AA41&lt;&gt;"",ISNUMBER(AA41)))),"F9 Filed - F18 Not Filed",IF(AND(NOT(AND(L41&lt;&gt;"",ISNUMBER(L41))),AND(Q41&lt;&gt;"",ISNUMBER(Q41)),NOT(AND(X41&lt;&gt;"",ISNUMBER(X41))),NOT(AND(AA41&lt;&gt;"",ISNUMBER(AA41)))),"Direct CS Filed - F9 &amp; F18 Not Filed",IF(AND(AND(L41&lt;&gt;"",ISNUMBER(L41)),AND(Q41&lt;&gt;"",ISNUMBER(Q41)),NOT(AND(X41&lt;&gt;"",ISNUMBER(X41))),NOT(AND(AA41&lt;&gt;"",ISNUMBER(AA41)))),"PS-CS Filed - F9 &amp; F18 Not Filed",IF(AND(AND(L41&lt;&gt;"",ISNUMBER(L41)),NOT(AND(Q41&lt;&gt;"",ISNUMBER(Q41)))),"PS Filed - CS Not Filed","Not Started"))))))))))))))</f>
        <v>Published</v>
      </c>
      <c r="BI41" s="23"/>
      <c r="BJ41" s="31"/>
      <c r="BK41" s="31"/>
    </row>
    <row r="42" spans="1:63" ht="374.65">
      <c r="A42" s="13" t="s">
        <v>242</v>
      </c>
      <c r="B42" s="14" t="s">
        <v>243</v>
      </c>
      <c r="C42" s="13" t="s">
        <v>96</v>
      </c>
      <c r="D42" s="13" t="s">
        <v>67</v>
      </c>
      <c r="E42" s="15" t="s">
        <v>483</v>
      </c>
      <c r="F42" s="13" t="s">
        <v>244</v>
      </c>
      <c r="G42" s="13" t="s">
        <v>245</v>
      </c>
      <c r="H42" s="13" t="s">
        <v>246</v>
      </c>
      <c r="I42" s="13" t="s">
        <v>247</v>
      </c>
      <c r="J42" s="13" t="s">
        <v>75</v>
      </c>
      <c r="K42" s="13">
        <v>202441096717</v>
      </c>
      <c r="L42" s="17"/>
      <c r="M42" s="18"/>
      <c r="N42" s="18"/>
      <c r="O42" s="18" t="str">
        <f t="shared" si="0"/>
        <v>PS Not yet filed</v>
      </c>
      <c r="P42" s="18" t="str">
        <f t="shared" si="1"/>
        <v/>
      </c>
      <c r="Q42" s="17">
        <v>45632</v>
      </c>
      <c r="R42" s="18"/>
      <c r="S42" s="17">
        <f t="shared" si="2"/>
        <v>45814</v>
      </c>
      <c r="T42" s="17">
        <v>45635</v>
      </c>
      <c r="U42" s="17">
        <f t="shared" si="3"/>
        <v>45722</v>
      </c>
      <c r="V42" s="17">
        <v>45680</v>
      </c>
      <c r="W42" s="13" t="s">
        <v>89</v>
      </c>
      <c r="X42" s="17">
        <v>45647</v>
      </c>
      <c r="Y42" s="17"/>
      <c r="Z42" s="18"/>
      <c r="AA42" s="17">
        <v>45647</v>
      </c>
      <c r="AB42" s="17">
        <v>45653</v>
      </c>
      <c r="AC42" s="18" t="e">
        <f t="shared" si="7"/>
        <v>#VALUE!</v>
      </c>
      <c r="AD42" s="19" t="str">
        <f t="shared" si="4"/>
        <v>52/2024</v>
      </c>
      <c r="AE42" s="17" t="s">
        <v>75</v>
      </c>
      <c r="AF42" s="18" t="str">
        <f t="shared" si="5"/>
        <v>NA</v>
      </c>
      <c r="AG42" s="19" t="s">
        <v>75</v>
      </c>
      <c r="AH42" s="17"/>
      <c r="AI42" s="18" t="str">
        <f t="shared" si="6"/>
        <v>NA</v>
      </c>
      <c r="AJ42" s="17" t="s">
        <v>75</v>
      </c>
      <c r="AK42" s="17" t="s">
        <v>75</v>
      </c>
      <c r="AL42" s="17"/>
      <c r="AM42" s="17" t="s">
        <v>75</v>
      </c>
      <c r="AN42" s="17" t="s">
        <v>75</v>
      </c>
      <c r="AO42" s="17"/>
      <c r="AP42" s="17" t="s">
        <v>75</v>
      </c>
      <c r="AQ42" s="17" t="s">
        <v>75</v>
      </c>
      <c r="AR42" s="17" t="s">
        <v>75</v>
      </c>
      <c r="AS42" s="13" t="str">
        <f ca="1">IF(OR(S42=0, S42=""), "No F1 deadline to compare", IF(T42&gt;0, IF(T42&gt;S42, "Filed after " &amp; (T42-S42) &amp; " days of deadline", "Filed within deadline"), IF(TODAY()&gt;S42, "Delayed by " &amp; (TODAY()-S42) &amp; " days", (S42-TODAY()) &amp; " days left")))</f>
        <v>Filed within deadline</v>
      </c>
      <c r="AT42" s="21" t="str">
        <f ca="1">IF(OR(TRIM(U42)="", U42=0), "No F26 deadline to compare", IF(AND(TRIM(V42)&lt;&gt;"", ISNUMBER(V42)), IF(V42&gt;U42, "Filed after " &amp; (V42-U42) &amp; " days of deadline", "Filed within deadline"), IF(TODAY()&gt;U42, "Delayed by " &amp; (TODAY()-U42) &amp; " days", (U42-TODAY()) &amp; " days left")))</f>
        <v>Filed within deadline</v>
      </c>
      <c r="AU42" s="22"/>
      <c r="AV42" s="22"/>
      <c r="AW42" s="22"/>
      <c r="AX42" s="21"/>
      <c r="AY42" s="22"/>
      <c r="AZ42" s="22"/>
      <c r="BA42" s="22"/>
      <c r="BB42" s="21"/>
      <c r="BC42" s="21"/>
      <c r="BD42" s="21"/>
      <c r="BE42" s="21"/>
      <c r="BF42" s="21"/>
      <c r="BG42" s="21"/>
      <c r="BH42" s="13" t="str">
        <f>IF(AND(AP42&lt;&gt;"",ISNUMBER(AP42)),"Patent Refused",IF(AND(AN42&lt;&gt;"",ISNUMBER(AN42)),"Patent Granted",IF(AND(AM42&lt;&gt;"",ISNUMBER(AM42)),"WS Filed",IF(AND(AND(AK42&lt;&gt;"",ISNUMBER(AK42)),NOT(AND(AM42&lt;&gt;"",ISNUMBER(AM42)))),"Hearing Attended - WS Not Filed",IF(AND(AND(AJ42&lt;&gt;"",ISNUMBER(AJ42)),NOT(AND(AK42&lt;&gt;"",ISNUMBER(AK42)))),"Hearing Issued",IF(AND(AG42&lt;&gt;"",ISNUMBER(AG42)),"FER Reply Filed",IF(AND(AND(AE42&lt;&gt;"",ISNUMBER(AE42)),NOT(AND(AG42&lt;&gt;"",ISNUMBER(AG42)))),"FER Received - Reply Not Filed",IF(AND(AB42&lt;&gt;"",ISNUMBER(AB42)),"Published",IF(AND(AND(X42&lt;&gt;"",ISNUMBER(X42)),AND(AA42&lt;&gt;"",ISNUMBER(AA42))),"F9 &amp; F18 Filed",IF(AND(NOT(AND(X42&lt;&gt;"",ISNUMBER(X42))),AND(AA42&lt;&gt;"",ISNUMBER(AA42))),"F9 Not Filed - F18 Filed",IF(AND(AND(X42&lt;&gt;"",ISNUMBER(X42)),NOT(AND(AA42&lt;&gt;"",ISNUMBER(AA42)))),"F9 Filed - F18 Not Filed",IF(AND(NOT(AND(L42&lt;&gt;"",ISNUMBER(L42))),AND(Q42&lt;&gt;"",ISNUMBER(Q42)),NOT(AND(X42&lt;&gt;"",ISNUMBER(X42))),NOT(AND(AA42&lt;&gt;"",ISNUMBER(AA42)))),"Direct CS Filed - F9 &amp; F18 Not Filed",IF(AND(AND(L42&lt;&gt;"",ISNUMBER(L42)),AND(Q42&lt;&gt;"",ISNUMBER(Q42)),NOT(AND(X42&lt;&gt;"",ISNUMBER(X42))),NOT(AND(AA42&lt;&gt;"",ISNUMBER(AA42)))),"PS-CS Filed - F9 &amp; F18 Not Filed",IF(AND(AND(L42&lt;&gt;"",ISNUMBER(L42)),NOT(AND(Q42&lt;&gt;"",ISNUMBER(Q42)))),"PS Filed - CS Not Filed","Not Started"))))))))))))))</f>
        <v>Published</v>
      </c>
      <c r="BI42" s="23"/>
      <c r="BJ42" s="31"/>
      <c r="BK42" s="31"/>
    </row>
    <row r="43" spans="1:63" ht="409.5">
      <c r="A43" s="13" t="s">
        <v>253</v>
      </c>
      <c r="B43" s="14" t="s">
        <v>254</v>
      </c>
      <c r="C43" s="13" t="s">
        <v>96</v>
      </c>
      <c r="D43" s="13" t="s">
        <v>67</v>
      </c>
      <c r="E43" s="15" t="s">
        <v>484</v>
      </c>
      <c r="F43" s="13" t="s">
        <v>255</v>
      </c>
      <c r="G43" s="13" t="s">
        <v>256</v>
      </c>
      <c r="H43" s="13" t="s">
        <v>257</v>
      </c>
      <c r="I43" s="13" t="s">
        <v>247</v>
      </c>
      <c r="J43" s="13" t="s">
        <v>75</v>
      </c>
      <c r="K43" s="13">
        <v>202541010199</v>
      </c>
      <c r="L43" s="17"/>
      <c r="M43" s="18"/>
      <c r="N43" s="18"/>
      <c r="O43" s="18" t="str">
        <f t="shared" si="0"/>
        <v>PS Not yet filed</v>
      </c>
      <c r="P43" s="18" t="str">
        <f t="shared" si="1"/>
        <v/>
      </c>
      <c r="Q43" s="17">
        <v>45695</v>
      </c>
      <c r="R43" s="18"/>
      <c r="S43" s="17">
        <f t="shared" si="2"/>
        <v>45876</v>
      </c>
      <c r="T43" s="17">
        <v>45702</v>
      </c>
      <c r="U43" s="17">
        <f t="shared" si="3"/>
        <v>45784</v>
      </c>
      <c r="V43" s="17">
        <v>45755</v>
      </c>
      <c r="W43" s="13" t="s">
        <v>89</v>
      </c>
      <c r="X43" s="17">
        <v>45735</v>
      </c>
      <c r="Y43" s="17"/>
      <c r="Z43" s="18"/>
      <c r="AA43" s="17">
        <v>45735</v>
      </c>
      <c r="AB43" s="17">
        <v>45737</v>
      </c>
      <c r="AC43" s="18" t="e">
        <f t="shared" si="7"/>
        <v>#VALUE!</v>
      </c>
      <c r="AD43" s="19" t="str">
        <f t="shared" si="4"/>
        <v>12/2025</v>
      </c>
      <c r="AE43" s="17" t="s">
        <v>75</v>
      </c>
      <c r="AF43" s="18" t="str">
        <f t="shared" si="5"/>
        <v>NA</v>
      </c>
      <c r="AG43" s="19" t="s">
        <v>75</v>
      </c>
      <c r="AH43" s="17"/>
      <c r="AI43" s="18" t="str">
        <f t="shared" si="6"/>
        <v>NA</v>
      </c>
      <c r="AJ43" s="17" t="s">
        <v>75</v>
      </c>
      <c r="AK43" s="17" t="s">
        <v>75</v>
      </c>
      <c r="AL43" s="17"/>
      <c r="AM43" s="17" t="s">
        <v>75</v>
      </c>
      <c r="AN43" s="17" t="s">
        <v>75</v>
      </c>
      <c r="AO43" s="17"/>
      <c r="AP43" s="17" t="s">
        <v>75</v>
      </c>
      <c r="AQ43" s="17" t="s">
        <v>75</v>
      </c>
      <c r="AR43" s="17" t="s">
        <v>75</v>
      </c>
      <c r="AS43" s="13" t="str">
        <f ca="1">IF(OR(S43=0, S43=""), "No F1 deadline to compare", IF(T43&gt;0, IF(T43&gt;S43, "Filed after " &amp; (T43-S43) &amp; " days of deadline", "Filed within deadline"), IF(TODAY()&gt;S43, "Delayed by " &amp; (TODAY()-S43) &amp; " days", (S43-TODAY()) &amp; " days left")))</f>
        <v>Filed within deadline</v>
      </c>
      <c r="AT43" s="21" t="str">
        <f ca="1">IF(OR(TRIM(U43)="", U43=0), "No F26 deadline to compare", IF(AND(TRIM(V43)&lt;&gt;"", ISNUMBER(V43)), IF(V43&gt;U43, "Filed after " &amp; (V43-U43) &amp; " days of deadline", "Filed within deadline"), IF(TODAY()&gt;U43, "Delayed by " &amp; (TODAY()-U43) &amp; " days", (U43-TODAY()) &amp; " days left")))</f>
        <v>Filed within deadline</v>
      </c>
      <c r="AU43" s="22"/>
      <c r="AV43" s="22"/>
      <c r="AW43" s="22"/>
      <c r="AX43" s="21"/>
      <c r="AY43" s="22"/>
      <c r="AZ43" s="22"/>
      <c r="BA43" s="22"/>
      <c r="BB43" s="21"/>
      <c r="BC43" s="21"/>
      <c r="BD43" s="21"/>
      <c r="BE43" s="21"/>
      <c r="BF43" s="21"/>
      <c r="BG43" s="21"/>
      <c r="BH43" s="13" t="str">
        <f>IF(AND(AP43&lt;&gt;"",ISNUMBER(AP43)),"Patent Refused",IF(AND(AN43&lt;&gt;"",ISNUMBER(AN43)),"Patent Granted",IF(AND(AM43&lt;&gt;"",ISNUMBER(AM43)),"WS Filed",IF(AND(AND(AK43&lt;&gt;"",ISNUMBER(AK43)),NOT(AND(AM43&lt;&gt;"",ISNUMBER(AM43)))),"Hearing Attended - WS Not Filed",IF(AND(AND(AJ43&lt;&gt;"",ISNUMBER(AJ43)),NOT(AND(AK43&lt;&gt;"",ISNUMBER(AK43)))),"Hearing Issued",IF(AND(AG43&lt;&gt;"",ISNUMBER(AG43)),"FER Reply Filed",IF(AND(AND(AE43&lt;&gt;"",ISNUMBER(AE43)),NOT(AND(AG43&lt;&gt;"",ISNUMBER(AG43)))),"FER Received - Reply Not Filed",IF(AND(AB43&lt;&gt;"",ISNUMBER(AB43)),"Published",IF(AND(AND(X43&lt;&gt;"",ISNUMBER(X43)),AND(AA43&lt;&gt;"",ISNUMBER(AA43))),"F9 &amp; F18 Filed",IF(AND(NOT(AND(X43&lt;&gt;"",ISNUMBER(X43))),AND(AA43&lt;&gt;"",ISNUMBER(AA43))),"F9 Not Filed - F18 Filed",IF(AND(AND(X43&lt;&gt;"",ISNUMBER(X43)),NOT(AND(AA43&lt;&gt;"",ISNUMBER(AA43)))),"F9 Filed - F18 Not Filed",IF(AND(NOT(AND(L43&lt;&gt;"",ISNUMBER(L43))),AND(Q43&lt;&gt;"",ISNUMBER(Q43)),NOT(AND(X43&lt;&gt;"",ISNUMBER(X43))),NOT(AND(AA43&lt;&gt;"",ISNUMBER(AA43)))),"Direct CS Filed - F9 &amp; F18 Not Filed",IF(AND(AND(L43&lt;&gt;"",ISNUMBER(L43)),AND(Q43&lt;&gt;"",ISNUMBER(Q43)),NOT(AND(X43&lt;&gt;"",ISNUMBER(X43))),NOT(AND(AA43&lt;&gt;"",ISNUMBER(AA43)))),"PS-CS Filed - F9 &amp; F18 Not Filed",IF(AND(AND(L43&lt;&gt;"",ISNUMBER(L43)),NOT(AND(Q43&lt;&gt;"",ISNUMBER(Q43)))),"PS Filed - CS Not Filed","Not Started"))))))))))))))</f>
        <v>Published</v>
      </c>
      <c r="BI43" s="23"/>
      <c r="BJ43" s="31"/>
      <c r="BK43" s="31"/>
    </row>
    <row r="44" spans="1:63" ht="124.9">
      <c r="A44" s="13" t="s">
        <v>293</v>
      </c>
      <c r="B44" s="14" t="s">
        <v>294</v>
      </c>
      <c r="C44" s="13" t="s">
        <v>65</v>
      </c>
      <c r="D44" s="13" t="s">
        <v>67</v>
      </c>
      <c r="E44" s="15" t="s">
        <v>485</v>
      </c>
      <c r="F44" s="13" t="s">
        <v>295</v>
      </c>
      <c r="G44" s="13" t="s">
        <v>296</v>
      </c>
      <c r="H44" s="13" t="s">
        <v>297</v>
      </c>
      <c r="I44" s="13" t="s">
        <v>298</v>
      </c>
      <c r="J44" s="13" t="s">
        <v>75</v>
      </c>
      <c r="K44" s="13">
        <v>202441096709</v>
      </c>
      <c r="L44" s="17">
        <v>45632</v>
      </c>
      <c r="M44" s="18">
        <v>45783</v>
      </c>
      <c r="N44" s="13" t="s">
        <v>84</v>
      </c>
      <c r="O44" s="18" t="str">
        <f t="shared" si="0"/>
        <v>1 months left (31 days)</v>
      </c>
      <c r="P44" s="18">
        <f t="shared" si="1"/>
        <v>46148</v>
      </c>
      <c r="Q44" s="17">
        <v>46147</v>
      </c>
      <c r="R44" s="18"/>
      <c r="S44" s="17">
        <f t="shared" si="2"/>
        <v>45967</v>
      </c>
      <c r="T44" s="17">
        <v>45636</v>
      </c>
      <c r="U44" s="17">
        <f t="shared" si="3"/>
        <v>45875</v>
      </c>
      <c r="V44" s="17">
        <v>45680</v>
      </c>
      <c r="W44" s="13" t="s">
        <v>108</v>
      </c>
      <c r="X44" s="17">
        <v>46262</v>
      </c>
      <c r="Y44" s="17">
        <v>46244</v>
      </c>
      <c r="Z44" s="13" t="s">
        <v>486</v>
      </c>
      <c r="AA44" s="17">
        <v>46262</v>
      </c>
      <c r="AB44" s="17">
        <v>46269</v>
      </c>
      <c r="AC44" s="18" t="e">
        <f t="shared" si="7"/>
        <v>#VALUE!</v>
      </c>
      <c r="AD44" s="19" t="str">
        <f t="shared" si="4"/>
        <v>36/2026</v>
      </c>
      <c r="AE44" s="17" t="s">
        <v>75</v>
      </c>
      <c r="AF44" s="18" t="str">
        <f t="shared" si="5"/>
        <v>NA</v>
      </c>
      <c r="AG44" s="19" t="s">
        <v>75</v>
      </c>
      <c r="AH44" s="17"/>
      <c r="AI44" s="18" t="str">
        <f t="shared" si="6"/>
        <v>NA</v>
      </c>
      <c r="AJ44" s="17" t="s">
        <v>75</v>
      </c>
      <c r="AK44" s="17" t="s">
        <v>75</v>
      </c>
      <c r="AL44" s="17"/>
      <c r="AM44" s="17" t="s">
        <v>75</v>
      </c>
      <c r="AN44" s="17" t="s">
        <v>75</v>
      </c>
      <c r="AO44" s="17"/>
      <c r="AP44" s="17"/>
      <c r="AQ44" s="17" t="s">
        <v>75</v>
      </c>
      <c r="AR44" s="17" t="s">
        <v>75</v>
      </c>
      <c r="AS44" s="13" t="str">
        <f ca="1">IF(OR(S44=0, S44=""), "No F1 deadline to compare", IF(T44&gt;0, IF(T44&gt;S44, "Filed after " &amp; (T44-S44) &amp; " days of deadline", "Filed within deadline"), IF(TODAY()&gt;S44, "Delayed by " &amp; (TODAY()-S44) &amp; " days", (S44-TODAY()) &amp; " days left")))</f>
        <v>Filed within deadline</v>
      </c>
      <c r="AT44" s="21" t="str">
        <f ca="1">IF(OR(TRIM(U44)="", U44=0), "No F26 deadline to compare", IF(AND(TRIM(V44)&lt;&gt;"", ISNUMBER(V44)), IF(V44&gt;U44, "Filed after " &amp; (V44-U44) &amp; " days of deadline", "Filed within deadline"), IF(TODAY()&gt;U44, "Delayed by " &amp; (TODAY()-U44) &amp; " days", (U44-TODAY()) &amp; " days left")))</f>
        <v>Filed within deadline</v>
      </c>
      <c r="AU44" s="22"/>
      <c r="AV44" s="22"/>
      <c r="AW44" s="22"/>
      <c r="AX44" s="21"/>
      <c r="AY44" s="22"/>
      <c r="AZ44" s="22"/>
      <c r="BA44" s="22"/>
      <c r="BB44" s="21"/>
      <c r="BC44" s="21"/>
      <c r="BD44" s="21"/>
      <c r="BE44" s="21"/>
      <c r="BF44" s="21"/>
      <c r="BG44" s="21"/>
      <c r="BH44" s="13" t="str">
        <f>IF(AND(AP44&lt;&gt;"",ISNUMBER(AP44)),"Patent Refused",IF(AND(AN44&lt;&gt;"",ISNUMBER(AN44)),"Patent Granted",IF(AND(AM44&lt;&gt;"",ISNUMBER(AM44)),"WS Filed",IF(AND(AND(AK44&lt;&gt;"",ISNUMBER(AK44)),NOT(AND(AM44&lt;&gt;"",ISNUMBER(AM44)))),"Hearing Attended - WS Not Filed",IF(AND(AND(AJ44&lt;&gt;"",ISNUMBER(AJ44)),NOT(AND(AK44&lt;&gt;"",ISNUMBER(AK44)))),"Hearing Issued",IF(AND(AG44&lt;&gt;"",ISNUMBER(AG44)),"FER Reply Filed",IF(AND(AND(AE44&lt;&gt;"",ISNUMBER(AE44)),NOT(AND(AG44&lt;&gt;"",ISNUMBER(AG44)))),"FER Received - Reply Not Filed",IF(AND(AB44&lt;&gt;"",ISNUMBER(AB44)),"Published",IF(AND(AND(X44&lt;&gt;"",ISNUMBER(X44)),AND(AA44&lt;&gt;"",ISNUMBER(AA44))),"F9 &amp; F18 Filed",IF(AND(NOT(AND(X44&lt;&gt;"",ISNUMBER(X44))),AND(AA44&lt;&gt;"",ISNUMBER(AA44))),"F9 Not Filed - F18 Filed",IF(AND(AND(X44&lt;&gt;"",ISNUMBER(X44)),NOT(AND(AA44&lt;&gt;"",ISNUMBER(AA44)))),"F9 Filed - F18 Not Filed",IF(AND(NOT(AND(L44&lt;&gt;"",ISNUMBER(L44))),AND(Q44&lt;&gt;"",ISNUMBER(Q44)),NOT(AND(X44&lt;&gt;"",ISNUMBER(X44))),NOT(AND(AA44&lt;&gt;"",ISNUMBER(AA44)))),"Direct CS Filed - F9 &amp; F18 Not Filed",IF(AND(AND(L44&lt;&gt;"",ISNUMBER(L44)),AND(Q44&lt;&gt;"",ISNUMBER(Q44)),NOT(AND(X44&lt;&gt;"",ISNUMBER(X44))),NOT(AND(AA44&lt;&gt;"",ISNUMBER(AA44)))),"PS-CS Filed - F9 &amp; F18 Not Filed",IF(AND(AND(L44&lt;&gt;"",ISNUMBER(L44)),NOT(AND(Q44&lt;&gt;"",ISNUMBER(Q44)))),"PS Filed - CS Not Filed","Not Started"))))))))))))))</f>
        <v>Published</v>
      </c>
      <c r="BI44" s="23"/>
      <c r="BJ44" s="31"/>
      <c r="BK44" s="31"/>
    </row>
    <row r="45" spans="1:63" ht="111">
      <c r="A45" s="13" t="s">
        <v>300</v>
      </c>
      <c r="B45" s="14" t="s">
        <v>301</v>
      </c>
      <c r="C45" s="13" t="s">
        <v>96</v>
      </c>
      <c r="D45" s="13" t="s">
        <v>67</v>
      </c>
      <c r="E45" s="15" t="s">
        <v>487</v>
      </c>
      <c r="F45" s="13" t="s">
        <v>302</v>
      </c>
      <c r="G45" s="13" t="s">
        <v>303</v>
      </c>
      <c r="H45" s="13" t="s">
        <v>304</v>
      </c>
      <c r="I45" s="13" t="s">
        <v>305</v>
      </c>
      <c r="J45" s="13" t="s">
        <v>75</v>
      </c>
      <c r="K45" s="13">
        <v>202441100412</v>
      </c>
      <c r="L45" s="17">
        <v>45644</v>
      </c>
      <c r="M45" s="18"/>
      <c r="N45" s="18"/>
      <c r="O45" s="18" t="str">
        <f t="shared" si="0"/>
        <v>Not yet Postdated</v>
      </c>
      <c r="P45" s="18">
        <f t="shared" si="1"/>
        <v>46009</v>
      </c>
      <c r="Q45" s="17">
        <v>46009</v>
      </c>
      <c r="R45" s="18"/>
      <c r="S45" s="17">
        <f t="shared" si="2"/>
        <v>45826</v>
      </c>
      <c r="T45" s="17">
        <v>45742</v>
      </c>
      <c r="U45" s="17">
        <f t="shared" si="3"/>
        <v>45734</v>
      </c>
      <c r="V45" s="17">
        <v>45680</v>
      </c>
      <c r="W45" s="13" t="s">
        <v>89</v>
      </c>
      <c r="X45" s="17">
        <v>46066</v>
      </c>
      <c r="Y45" s="17"/>
      <c r="Z45" s="18"/>
      <c r="AA45" s="17">
        <v>46090</v>
      </c>
      <c r="AB45" s="17">
        <v>46073</v>
      </c>
      <c r="AC45" s="18" t="e">
        <f t="shared" si="7"/>
        <v>#VALUE!</v>
      </c>
      <c r="AD45" s="19" t="str">
        <f t="shared" si="4"/>
        <v>08/2026</v>
      </c>
      <c r="AE45" s="17" t="s">
        <v>75</v>
      </c>
      <c r="AF45" s="18" t="str">
        <f t="shared" si="5"/>
        <v>NA</v>
      </c>
      <c r="AG45" s="19" t="s">
        <v>75</v>
      </c>
      <c r="AH45" s="17"/>
      <c r="AI45" s="18" t="str">
        <f t="shared" si="6"/>
        <v>NA</v>
      </c>
      <c r="AJ45" s="17" t="s">
        <v>75</v>
      </c>
      <c r="AK45" s="17" t="s">
        <v>75</v>
      </c>
      <c r="AL45" s="17"/>
      <c r="AM45" s="17" t="s">
        <v>75</v>
      </c>
      <c r="AN45" s="17" t="s">
        <v>75</v>
      </c>
      <c r="AO45" s="17"/>
      <c r="AP45" s="17" t="s">
        <v>75</v>
      </c>
      <c r="AQ45" s="17" t="s">
        <v>75</v>
      </c>
      <c r="AR45" s="17" t="s">
        <v>75</v>
      </c>
      <c r="AS45" s="13" t="str">
        <f ca="1">IF(OR(S45=0, S45=""), "No F1 deadline to compare", IF(T45&gt;0, IF(T45&gt;S45, "Filed after " &amp; (T45-S45) &amp; " days of deadline", "Filed within deadline"), IF(TODAY()&gt;S45, "Delayed by " &amp; (TODAY()-S45) &amp; " days", (S45-TODAY()) &amp; " days left")))</f>
        <v>Filed within deadline</v>
      </c>
      <c r="AT45" s="21" t="str">
        <f ca="1">IF(OR(TRIM(U45)="", U45=0), "No F26 deadline to compare", IF(AND(TRIM(V45)&lt;&gt;"", ISNUMBER(V45)), IF(V45&gt;U45, "Filed after " &amp; (V45-U45) &amp; " days of deadline", "Filed within deadline"), IF(TODAY()&gt;U45, "Delayed by " &amp; (TODAY()-U45) &amp; " days", (U45-TODAY()) &amp; " days left")))</f>
        <v>Filed within deadline</v>
      </c>
      <c r="AU45" s="22"/>
      <c r="AV45" s="22"/>
      <c r="AW45" s="22"/>
      <c r="AX45" s="21"/>
      <c r="AY45" s="22"/>
      <c r="AZ45" s="22"/>
      <c r="BA45" s="22"/>
      <c r="BB45" s="21"/>
      <c r="BC45" s="21"/>
      <c r="BD45" s="21"/>
      <c r="BE45" s="21"/>
      <c r="BF45" s="21"/>
      <c r="BG45" s="21"/>
      <c r="BH45" s="13" t="str">
        <f>IF(AND(AP45&lt;&gt;"",ISNUMBER(AP45)),"Patent Refused",IF(AND(AN45&lt;&gt;"",ISNUMBER(AN45)),"Patent Granted",IF(AND(AM45&lt;&gt;"",ISNUMBER(AM45)),"WS Filed",IF(AND(AND(AK45&lt;&gt;"",ISNUMBER(AK45)),NOT(AND(AM45&lt;&gt;"",ISNUMBER(AM45)))),"Hearing Attended - WS Not Filed",IF(AND(AND(AJ45&lt;&gt;"",ISNUMBER(AJ45)),NOT(AND(AK45&lt;&gt;"",ISNUMBER(AK45)))),"Hearing Issued",IF(AND(AG45&lt;&gt;"",ISNUMBER(AG45)),"FER Reply Filed",IF(AND(AND(AE45&lt;&gt;"",ISNUMBER(AE45)),NOT(AND(AG45&lt;&gt;"",ISNUMBER(AG45)))),"FER Received - Reply Not Filed",IF(AND(AB45&lt;&gt;"",ISNUMBER(AB45)),"Published",IF(AND(AND(X45&lt;&gt;"",ISNUMBER(X45)),AND(AA45&lt;&gt;"",ISNUMBER(AA45))),"F9 &amp; F18 Filed",IF(AND(NOT(AND(X45&lt;&gt;"",ISNUMBER(X45))),AND(AA45&lt;&gt;"",ISNUMBER(AA45))),"F9 Not Filed - F18 Filed",IF(AND(AND(X45&lt;&gt;"",ISNUMBER(X45)),NOT(AND(AA45&lt;&gt;"",ISNUMBER(AA45)))),"F9 Filed - F18 Not Filed",IF(AND(NOT(AND(L45&lt;&gt;"",ISNUMBER(L45))),AND(Q45&lt;&gt;"",ISNUMBER(Q45)),NOT(AND(X45&lt;&gt;"",ISNUMBER(X45))),NOT(AND(AA45&lt;&gt;"",ISNUMBER(AA45)))),"Direct CS Filed - F9 &amp; F18 Not Filed",IF(AND(AND(L45&lt;&gt;"",ISNUMBER(L45)),AND(Q45&lt;&gt;"",ISNUMBER(Q45)),NOT(AND(X45&lt;&gt;"",ISNUMBER(X45))),NOT(AND(AA45&lt;&gt;"",ISNUMBER(AA45)))),"PS-CS Filed - F9 &amp; F18 Not Filed",IF(AND(AND(L45&lt;&gt;"",ISNUMBER(L45)),NOT(AND(Q45&lt;&gt;"",ISNUMBER(Q45)))),"PS Filed - CS Not Filed","Not Started"))))))))))))))</f>
        <v>Published</v>
      </c>
      <c r="BI45" s="23"/>
      <c r="BJ45" s="31"/>
      <c r="BK45" s="31"/>
    </row>
    <row r="46" spans="1:63" ht="180.4">
      <c r="A46" s="13" t="s">
        <v>308</v>
      </c>
      <c r="B46" s="14" t="s">
        <v>309</v>
      </c>
      <c r="C46" s="13" t="s">
        <v>81</v>
      </c>
      <c r="D46" s="13" t="s">
        <v>67</v>
      </c>
      <c r="E46" s="15" t="s">
        <v>488</v>
      </c>
      <c r="F46" s="13" t="s">
        <v>310</v>
      </c>
      <c r="G46" s="13" t="s">
        <v>311</v>
      </c>
      <c r="H46" s="13" t="s">
        <v>312</v>
      </c>
      <c r="I46" s="13" t="s">
        <v>313</v>
      </c>
      <c r="J46" s="13" t="s">
        <v>75</v>
      </c>
      <c r="K46" s="13">
        <v>202441096976</v>
      </c>
      <c r="L46" s="17">
        <v>45635</v>
      </c>
      <c r="M46" s="18">
        <v>45666</v>
      </c>
      <c r="N46" s="13" t="s">
        <v>84</v>
      </c>
      <c r="O46" s="18" t="str">
        <f t="shared" si="0"/>
        <v>5 months left (151 days)</v>
      </c>
      <c r="P46" s="18">
        <f t="shared" si="1"/>
        <v>46031</v>
      </c>
      <c r="Q46" s="17">
        <v>46031</v>
      </c>
      <c r="R46" s="18"/>
      <c r="S46" s="17">
        <f t="shared" si="2"/>
        <v>45847</v>
      </c>
      <c r="T46" s="17">
        <v>45638</v>
      </c>
      <c r="U46" s="17">
        <f t="shared" si="3"/>
        <v>45756</v>
      </c>
      <c r="V46" s="17">
        <v>45680</v>
      </c>
      <c r="W46" s="13" t="s">
        <v>108</v>
      </c>
      <c r="X46" s="17">
        <v>46128</v>
      </c>
      <c r="Y46" s="17"/>
      <c r="Z46" s="18"/>
      <c r="AA46" s="17">
        <v>46182</v>
      </c>
      <c r="AB46" s="17">
        <v>46136</v>
      </c>
      <c r="AC46" s="18" t="e">
        <f t="shared" si="7"/>
        <v>#VALUE!</v>
      </c>
      <c r="AD46" s="19" t="str">
        <f t="shared" si="4"/>
        <v>17/2026</v>
      </c>
      <c r="AE46" s="17" t="s">
        <v>75</v>
      </c>
      <c r="AF46" s="18" t="str">
        <f t="shared" si="5"/>
        <v>NA</v>
      </c>
      <c r="AG46" s="19" t="s">
        <v>75</v>
      </c>
      <c r="AH46" s="17"/>
      <c r="AI46" s="18" t="str">
        <f t="shared" si="6"/>
        <v>NA</v>
      </c>
      <c r="AJ46" s="17" t="s">
        <v>75</v>
      </c>
      <c r="AK46" s="17" t="s">
        <v>75</v>
      </c>
      <c r="AL46" s="17"/>
      <c r="AM46" s="17" t="s">
        <v>75</v>
      </c>
      <c r="AN46" s="17" t="s">
        <v>75</v>
      </c>
      <c r="AO46" s="17"/>
      <c r="AP46" s="17" t="s">
        <v>75</v>
      </c>
      <c r="AQ46" s="17" t="s">
        <v>75</v>
      </c>
      <c r="AR46" s="17" t="s">
        <v>75</v>
      </c>
      <c r="AS46" s="13" t="str">
        <f ca="1">IF(OR(S46=0, S46=""), "No F1 deadline to compare", IF(T46&gt;0, IF(T46&gt;S46, "Filed after " &amp; (T46-S46) &amp; " days of deadline", "Filed within deadline"), IF(TODAY()&gt;S46, "Delayed by " &amp; (TODAY()-S46) &amp; " days", (S46-TODAY()) &amp; " days left")))</f>
        <v>Filed within deadline</v>
      </c>
      <c r="AT46" s="21" t="str">
        <f ca="1">IF(OR(TRIM(U46)="", U46=0), "No F26 deadline to compare", IF(AND(TRIM(V46)&lt;&gt;"", ISNUMBER(V46)), IF(V46&gt;U46, "Filed after " &amp; (V46-U46) &amp; " days of deadline", "Filed within deadline"), IF(TODAY()&gt;U46, "Delayed by " &amp; (TODAY()-U46) &amp; " days", (U46-TODAY()) &amp; " days left")))</f>
        <v>Filed within deadline</v>
      </c>
      <c r="AU46" s="22"/>
      <c r="AV46" s="22"/>
      <c r="AW46" s="22"/>
      <c r="AX46" s="21"/>
      <c r="AY46" s="22"/>
      <c r="AZ46" s="22"/>
      <c r="BA46" s="22"/>
      <c r="BB46" s="21"/>
      <c r="BC46" s="21"/>
      <c r="BD46" s="21"/>
      <c r="BE46" s="21"/>
      <c r="BF46" s="21"/>
      <c r="BG46" s="21"/>
      <c r="BH46" s="13" t="str">
        <f>IF(AND(AP46&lt;&gt;"",ISNUMBER(AP46)),"Patent Refused",IF(AND(AN46&lt;&gt;"",ISNUMBER(AN46)),"Patent Granted",IF(AND(AM46&lt;&gt;"",ISNUMBER(AM46)),"WS Filed",IF(AND(AND(AK46&lt;&gt;"",ISNUMBER(AK46)),NOT(AND(AM46&lt;&gt;"",ISNUMBER(AM46)))),"Hearing Attended - WS Not Filed",IF(AND(AND(AJ46&lt;&gt;"",ISNUMBER(AJ46)),NOT(AND(AK46&lt;&gt;"",ISNUMBER(AK46)))),"Hearing Issued",IF(AND(AG46&lt;&gt;"",ISNUMBER(AG46)),"FER Reply Filed",IF(AND(AND(AE46&lt;&gt;"",ISNUMBER(AE46)),NOT(AND(AG46&lt;&gt;"",ISNUMBER(AG46)))),"FER Received - Reply Not Filed",IF(AND(AB46&lt;&gt;"",ISNUMBER(AB46)),"Published",IF(AND(AND(X46&lt;&gt;"",ISNUMBER(X46)),AND(AA46&lt;&gt;"",ISNUMBER(AA46))),"F9 &amp; F18 Filed",IF(AND(NOT(AND(X46&lt;&gt;"",ISNUMBER(X46))),AND(AA46&lt;&gt;"",ISNUMBER(AA46))),"F9 Not Filed - F18 Filed",IF(AND(AND(X46&lt;&gt;"",ISNUMBER(X46)),NOT(AND(AA46&lt;&gt;"",ISNUMBER(AA46)))),"F9 Filed - F18 Not Filed",IF(AND(NOT(AND(L46&lt;&gt;"",ISNUMBER(L46))),AND(Q46&lt;&gt;"",ISNUMBER(Q46)),NOT(AND(X46&lt;&gt;"",ISNUMBER(X46))),NOT(AND(AA46&lt;&gt;"",ISNUMBER(AA46)))),"Direct CS Filed - F9 &amp; F18 Not Filed",IF(AND(AND(L46&lt;&gt;"",ISNUMBER(L46)),AND(Q46&lt;&gt;"",ISNUMBER(Q46)),NOT(AND(X46&lt;&gt;"",ISNUMBER(X46))),NOT(AND(AA46&lt;&gt;"",ISNUMBER(AA46)))),"PS-CS Filed - F9 &amp; F18 Not Filed",IF(AND(AND(L46&lt;&gt;"",ISNUMBER(L46)),NOT(AND(Q46&lt;&gt;"",ISNUMBER(Q46)))),"PS Filed - CS Not Filed","Not Started"))))))))))))))</f>
        <v>Published</v>
      </c>
      <c r="BI46" s="23"/>
      <c r="BJ46" s="31"/>
      <c r="BK46" s="31"/>
    </row>
    <row r="47" spans="1:63" ht="346.9">
      <c r="A47" s="13" t="s">
        <v>315</v>
      </c>
      <c r="B47" s="14" t="s">
        <v>316</v>
      </c>
      <c r="C47" s="13" t="s">
        <v>96</v>
      </c>
      <c r="D47" s="13" t="s">
        <v>67</v>
      </c>
      <c r="E47" s="15" t="s">
        <v>489</v>
      </c>
      <c r="F47" s="13" t="s">
        <v>317</v>
      </c>
      <c r="G47" s="13" t="s">
        <v>318</v>
      </c>
      <c r="H47" s="13" t="s">
        <v>319</v>
      </c>
      <c r="I47" s="13" t="s">
        <v>320</v>
      </c>
      <c r="J47" s="13" t="s">
        <v>75</v>
      </c>
      <c r="K47" s="13">
        <v>202441088616</v>
      </c>
      <c r="L47" s="17">
        <v>45612</v>
      </c>
      <c r="M47" s="18"/>
      <c r="N47" s="18"/>
      <c r="O47" s="18" t="str">
        <f t="shared" si="0"/>
        <v>Not yet Postdated</v>
      </c>
      <c r="P47" s="18">
        <f t="shared" si="1"/>
        <v>45977</v>
      </c>
      <c r="Q47" s="17">
        <v>45977</v>
      </c>
      <c r="R47" s="18"/>
      <c r="S47" s="17">
        <f t="shared" si="2"/>
        <v>45793</v>
      </c>
      <c r="T47" s="17"/>
      <c r="U47" s="17">
        <f t="shared" si="3"/>
        <v>45704</v>
      </c>
      <c r="V47" s="17">
        <v>45632</v>
      </c>
      <c r="W47" s="13" t="s">
        <v>89</v>
      </c>
      <c r="X47" s="17">
        <v>46066</v>
      </c>
      <c r="Y47" s="17"/>
      <c r="Z47" s="18"/>
      <c r="AA47" s="17" t="s">
        <v>75</v>
      </c>
      <c r="AB47" s="17">
        <v>46073</v>
      </c>
      <c r="AC47" s="18" t="e">
        <f t="shared" si="7"/>
        <v>#VALUE!</v>
      </c>
      <c r="AD47" s="19" t="str">
        <f t="shared" si="4"/>
        <v>08/2026</v>
      </c>
      <c r="AE47" s="17" t="s">
        <v>75</v>
      </c>
      <c r="AF47" s="18" t="str">
        <f t="shared" si="5"/>
        <v>NA</v>
      </c>
      <c r="AG47" s="19" t="s">
        <v>75</v>
      </c>
      <c r="AH47" s="17"/>
      <c r="AI47" s="18" t="str">
        <f t="shared" si="6"/>
        <v>NA</v>
      </c>
      <c r="AJ47" s="17" t="s">
        <v>75</v>
      </c>
      <c r="AK47" s="17" t="s">
        <v>75</v>
      </c>
      <c r="AL47" s="17"/>
      <c r="AM47" s="17" t="s">
        <v>75</v>
      </c>
      <c r="AN47" s="17" t="s">
        <v>75</v>
      </c>
      <c r="AO47" s="17"/>
      <c r="AP47" s="17" t="s">
        <v>75</v>
      </c>
      <c r="AQ47" s="17" t="s">
        <v>75</v>
      </c>
      <c r="AR47" s="17" t="s">
        <v>75</v>
      </c>
      <c r="AS47" s="13" t="str">
        <f ca="1">IF(OR(S47=0, S47=""), "No F1 deadline to compare", IF(T47&gt;0, IF(T47&gt;S47, "Filed after " &amp; (T47-S47) &amp; " days of deadline", "Filed within deadline"), IF(TODAY()&gt;S47, "Delayed by " &amp; (TODAY()-S47) &amp; " days", (S47-TODAY()) &amp; " days left")))</f>
        <v>Delayed by 528 days</v>
      </c>
      <c r="AT47" s="21" t="str">
        <f ca="1">IF(OR(TRIM(U47)="", U47=0), "No F26 deadline to compare", IF(AND(TRIM(V47)&lt;&gt;"", ISNUMBER(V47)), IF(V47&gt;U47, "Filed after " &amp; (V47-U47) &amp; " days of deadline", "Filed within deadline"), IF(TODAY()&gt;U47, "Delayed by " &amp; (TODAY()-U47) &amp; " days", (U47-TODAY()) &amp; " days left")))</f>
        <v>Filed within deadline</v>
      </c>
      <c r="AU47" s="22"/>
      <c r="AV47" s="22"/>
      <c r="AW47" s="22"/>
      <c r="AX47" s="21"/>
      <c r="AY47" s="22"/>
      <c r="AZ47" s="22"/>
      <c r="BA47" s="22"/>
      <c r="BB47" s="21"/>
      <c r="BC47" s="21"/>
      <c r="BD47" s="21"/>
      <c r="BE47" s="21"/>
      <c r="BF47" s="21"/>
      <c r="BG47" s="21"/>
      <c r="BH47" s="13" t="str">
        <f>IF(AND(AP47&lt;&gt;"",ISNUMBER(AP47)),"Patent Refused",IF(AND(AN47&lt;&gt;"",ISNUMBER(AN47)),"Patent Granted",IF(AND(AM47&lt;&gt;"",ISNUMBER(AM47)),"WS Filed",IF(AND(AND(AK47&lt;&gt;"",ISNUMBER(AK47)),NOT(AND(AM47&lt;&gt;"",ISNUMBER(AM47)))),"Hearing Attended - WS Not Filed",IF(AND(AND(AJ47&lt;&gt;"",ISNUMBER(AJ47)),NOT(AND(AK47&lt;&gt;"",ISNUMBER(AK47)))),"Hearing Issued",IF(AND(AG47&lt;&gt;"",ISNUMBER(AG47)),"FER Reply Filed",IF(AND(AND(AE47&lt;&gt;"",ISNUMBER(AE47)),NOT(AND(AG47&lt;&gt;"",ISNUMBER(AG47)))),"FER Received - Reply Not Filed",IF(AND(AB47&lt;&gt;"",ISNUMBER(AB47)),"Published",IF(AND(AND(X47&lt;&gt;"",ISNUMBER(X47)),AND(AA47&lt;&gt;"",ISNUMBER(AA47))),"F9 &amp; F18 Filed",IF(AND(NOT(AND(X47&lt;&gt;"",ISNUMBER(X47))),AND(AA47&lt;&gt;"",ISNUMBER(AA47))),"F9 Not Filed - F18 Filed",IF(AND(AND(X47&lt;&gt;"",ISNUMBER(X47)),NOT(AND(AA47&lt;&gt;"",ISNUMBER(AA47)))),"F9 Filed - F18 Not Filed",IF(AND(NOT(AND(L47&lt;&gt;"",ISNUMBER(L47))),AND(Q47&lt;&gt;"",ISNUMBER(Q47)),NOT(AND(X47&lt;&gt;"",ISNUMBER(X47))),NOT(AND(AA47&lt;&gt;"",ISNUMBER(AA47)))),"Direct CS Filed - F9 &amp; F18 Not Filed",IF(AND(AND(L47&lt;&gt;"",ISNUMBER(L47)),AND(Q47&lt;&gt;"",ISNUMBER(Q47)),NOT(AND(X47&lt;&gt;"",ISNUMBER(X47))),NOT(AND(AA47&lt;&gt;"",ISNUMBER(AA47)))),"PS-CS Filed - F9 &amp; F18 Not Filed",IF(AND(AND(L47&lt;&gt;"",ISNUMBER(L47)),NOT(AND(Q47&lt;&gt;"",ISNUMBER(Q47)))),"PS Filed - CS Not Filed","Not Started"))))))))))))))</f>
        <v>Published</v>
      </c>
      <c r="BI47" s="23"/>
      <c r="BJ47" s="31"/>
      <c r="BK47" s="31"/>
    </row>
    <row r="48" spans="1:63" ht="291.39999999999998">
      <c r="A48" s="33" t="s">
        <v>322</v>
      </c>
      <c r="B48" s="14" t="s">
        <v>323</v>
      </c>
      <c r="C48" s="13" t="s">
        <v>81</v>
      </c>
      <c r="D48" s="13" t="s">
        <v>67</v>
      </c>
      <c r="E48" s="15" t="s">
        <v>490</v>
      </c>
      <c r="F48" s="13" t="s">
        <v>324</v>
      </c>
      <c r="G48" s="13" t="s">
        <v>325</v>
      </c>
      <c r="H48" s="13" t="s">
        <v>326</v>
      </c>
      <c r="I48" s="13" t="s">
        <v>327</v>
      </c>
      <c r="J48" s="13" t="s">
        <v>75</v>
      </c>
      <c r="K48" s="13">
        <v>202441094356</v>
      </c>
      <c r="L48" s="17">
        <v>45627</v>
      </c>
      <c r="M48" s="18">
        <v>45809</v>
      </c>
      <c r="N48" s="13" t="s">
        <v>84</v>
      </c>
      <c r="O48" s="18" t="str">
        <f t="shared" si="0"/>
        <v>0 months left (0 days)</v>
      </c>
      <c r="P48" s="18">
        <f t="shared" si="1"/>
        <v>46174</v>
      </c>
      <c r="Q48" s="17" t="s">
        <v>151</v>
      </c>
      <c r="R48" s="18"/>
      <c r="S48" s="17">
        <f t="shared" si="2"/>
        <v>45992</v>
      </c>
      <c r="T48" s="17">
        <v>45636</v>
      </c>
      <c r="U48" s="17">
        <f t="shared" si="3"/>
        <v>45901</v>
      </c>
      <c r="V48" s="17">
        <v>45680</v>
      </c>
      <c r="W48" s="13" t="s">
        <v>108</v>
      </c>
      <c r="X48" s="17" t="s">
        <v>75</v>
      </c>
      <c r="Y48" s="17"/>
      <c r="Z48" s="18"/>
      <c r="AA48" s="17" t="s">
        <v>75</v>
      </c>
      <c r="AB48" s="17" t="s">
        <v>75</v>
      </c>
      <c r="AC48" s="18" t="e">
        <f t="shared" si="7"/>
        <v>#VALUE!</v>
      </c>
      <c r="AD48" s="19" t="str">
        <f t="shared" si="4"/>
        <v>NA</v>
      </c>
      <c r="AE48" s="17" t="s">
        <v>75</v>
      </c>
      <c r="AF48" s="18" t="str">
        <f t="shared" si="5"/>
        <v>NA</v>
      </c>
      <c r="AG48" s="19" t="s">
        <v>75</v>
      </c>
      <c r="AH48" s="17"/>
      <c r="AI48" s="18" t="str">
        <f t="shared" si="6"/>
        <v>NA</v>
      </c>
      <c r="AJ48" s="17" t="s">
        <v>75</v>
      </c>
      <c r="AK48" s="17" t="s">
        <v>75</v>
      </c>
      <c r="AL48" s="17"/>
      <c r="AM48" s="17" t="s">
        <v>75</v>
      </c>
      <c r="AN48" s="17" t="s">
        <v>75</v>
      </c>
      <c r="AO48" s="17"/>
      <c r="AP48" s="17" t="s">
        <v>75</v>
      </c>
      <c r="AQ48" s="17" t="s">
        <v>75</v>
      </c>
      <c r="AR48" s="17" t="s">
        <v>75</v>
      </c>
      <c r="AS48" s="13" t="str">
        <f ca="1">IF(OR(S48=0, S48=""), "No F1 deadline to compare", IF(T48&gt;0, IF(T48&gt;S48, "Filed after " &amp; (T48-S48) &amp; " days of deadline", "Filed within deadline"), IF(TODAY()&gt;S48, "Delayed by " &amp; (TODAY()-S48) &amp; " days", (S48-TODAY()) &amp; " days left")))</f>
        <v>Filed within deadline</v>
      </c>
      <c r="AT48" s="21" t="str">
        <f ca="1">IF(OR(TRIM(U48)="", U48=0), "No F26 deadline to compare", IF(AND(TRIM(V48)&lt;&gt;"", ISNUMBER(V48)), IF(V48&gt;U48, "Filed after " &amp; (V48-U48) &amp; " days of deadline", "Filed within deadline"), IF(TODAY()&gt;U48, "Delayed by " &amp; (TODAY()-U48) &amp; " days", (U48-TODAY()) &amp; " days left")))</f>
        <v>Filed within deadline</v>
      </c>
      <c r="AU48" s="22"/>
      <c r="AV48" s="22"/>
      <c r="AW48" s="22"/>
      <c r="AX48" s="21"/>
      <c r="AY48" s="22"/>
      <c r="AZ48" s="22"/>
      <c r="BA48" s="22"/>
      <c r="BB48" s="21"/>
      <c r="BC48" s="21"/>
      <c r="BD48" s="21"/>
      <c r="BE48" s="21"/>
      <c r="BF48" s="21"/>
      <c r="BG48" s="21"/>
      <c r="BH48" s="13" t="str">
        <f>IF(AND(AP48&lt;&gt;"",ISNUMBER(AP48)),"Patent Refused",IF(AND(AN48&lt;&gt;"",ISNUMBER(AN48)),"Patent Granted",IF(AND(AM48&lt;&gt;"",ISNUMBER(AM48)),"WS Filed",IF(AND(AND(AK48&lt;&gt;"",ISNUMBER(AK48)),NOT(AND(AM48&lt;&gt;"",ISNUMBER(AM48)))),"Hearing Attended - WS Not Filed",IF(AND(AND(AJ48&lt;&gt;"",ISNUMBER(AJ48)),NOT(AND(AK48&lt;&gt;"",ISNUMBER(AK48)))),"Hearing Issued",IF(AND(AG48&lt;&gt;"",ISNUMBER(AG48)),"FER Reply Filed",IF(AND(AND(AE48&lt;&gt;"",ISNUMBER(AE48)),NOT(AND(AG48&lt;&gt;"",ISNUMBER(AG48)))),"FER Received - Reply Not Filed",IF(AND(AB48&lt;&gt;"",ISNUMBER(AB48)),"Published",IF(AND(AND(X48&lt;&gt;"",ISNUMBER(X48)),AND(AA48&lt;&gt;"",ISNUMBER(AA48))),"F9 &amp; F18 Filed",IF(AND(NOT(AND(X48&lt;&gt;"",ISNUMBER(X48))),AND(AA48&lt;&gt;"",ISNUMBER(AA48))),"F9 Not Filed - F18 Filed",IF(AND(AND(X48&lt;&gt;"",ISNUMBER(X48)),NOT(AND(AA48&lt;&gt;"",ISNUMBER(AA48)))),"F9 Filed - F18 Not Filed",IF(AND(NOT(AND(L48&lt;&gt;"",ISNUMBER(L48))),AND(Q48&lt;&gt;"",ISNUMBER(Q48)),NOT(AND(X48&lt;&gt;"",ISNUMBER(X48))),NOT(AND(AA48&lt;&gt;"",ISNUMBER(AA48)))),"Direct CS Filed - F9 &amp; F18 Not Filed",IF(AND(AND(L48&lt;&gt;"",ISNUMBER(L48)),AND(Q48&lt;&gt;"",ISNUMBER(Q48)),NOT(AND(X48&lt;&gt;"",ISNUMBER(X48))),NOT(AND(AA48&lt;&gt;"",ISNUMBER(AA48)))),"PS-CS Filed - F9 &amp; F18 Not Filed",IF(AND(AND(L48&lt;&gt;"",ISNUMBER(L48)),NOT(AND(Q48&lt;&gt;"",ISNUMBER(Q48)))),"PS Filed - CS Not Filed","Not Started"))))))))))))))</f>
        <v>PS Filed - CS Not Filed</v>
      </c>
      <c r="BI48" s="23"/>
      <c r="BJ48" s="31"/>
      <c r="BK48" s="31"/>
    </row>
    <row r="49" spans="1:63" ht="409.5">
      <c r="A49" s="13" t="s">
        <v>330</v>
      </c>
      <c r="B49" s="14" t="s">
        <v>331</v>
      </c>
      <c r="C49" s="13" t="s">
        <v>96</v>
      </c>
      <c r="D49" s="13" t="s">
        <v>67</v>
      </c>
      <c r="E49" s="15" t="s">
        <v>491</v>
      </c>
      <c r="F49" s="13" t="s">
        <v>332</v>
      </c>
      <c r="G49" s="13" t="s">
        <v>333</v>
      </c>
      <c r="H49" s="13" t="s">
        <v>334</v>
      </c>
      <c r="I49" s="13" t="s">
        <v>335</v>
      </c>
      <c r="J49" s="13" t="s">
        <v>75</v>
      </c>
      <c r="K49" s="13">
        <v>202541000617</v>
      </c>
      <c r="L49" s="17">
        <v>45660</v>
      </c>
      <c r="M49" s="18"/>
      <c r="N49" s="18"/>
      <c r="O49" s="18" t="str">
        <f t="shared" si="0"/>
        <v>Not yet Postdated</v>
      </c>
      <c r="P49" s="18">
        <f t="shared" si="1"/>
        <v>46025</v>
      </c>
      <c r="Q49" s="17">
        <v>45973</v>
      </c>
      <c r="R49" s="18"/>
      <c r="S49" s="17">
        <f t="shared" si="2"/>
        <v>45841</v>
      </c>
      <c r="T49" s="17">
        <v>45873</v>
      </c>
      <c r="U49" s="17">
        <f t="shared" si="3"/>
        <v>45750</v>
      </c>
      <c r="V49" s="17">
        <v>45755</v>
      </c>
      <c r="W49" s="13" t="s">
        <v>89</v>
      </c>
      <c r="X49" s="17">
        <v>45985</v>
      </c>
      <c r="Y49" s="17"/>
      <c r="Z49" s="18"/>
      <c r="AA49" s="17">
        <v>46058</v>
      </c>
      <c r="AB49" s="17">
        <v>45996</v>
      </c>
      <c r="AC49" s="18" t="e">
        <f t="shared" si="7"/>
        <v>#VALUE!</v>
      </c>
      <c r="AD49" s="19" t="str">
        <f t="shared" si="4"/>
        <v>49/2025</v>
      </c>
      <c r="AE49" s="17" t="s">
        <v>75</v>
      </c>
      <c r="AF49" s="18" t="str">
        <f t="shared" si="5"/>
        <v>NA</v>
      </c>
      <c r="AG49" s="19" t="s">
        <v>75</v>
      </c>
      <c r="AH49" s="17"/>
      <c r="AI49" s="18" t="str">
        <f t="shared" si="6"/>
        <v>NA</v>
      </c>
      <c r="AJ49" s="17" t="s">
        <v>75</v>
      </c>
      <c r="AK49" s="17" t="s">
        <v>75</v>
      </c>
      <c r="AL49" s="17"/>
      <c r="AM49" s="17" t="s">
        <v>75</v>
      </c>
      <c r="AN49" s="17" t="s">
        <v>75</v>
      </c>
      <c r="AO49" s="17"/>
      <c r="AP49" s="17" t="s">
        <v>75</v>
      </c>
      <c r="AQ49" s="17" t="s">
        <v>75</v>
      </c>
      <c r="AR49" s="17" t="s">
        <v>75</v>
      </c>
      <c r="AS49" s="13" t="str">
        <f ca="1">IF(OR(S49=0, S49=""), "No F1 deadline to compare", IF(T49&gt;0, IF(T49&gt;S49, "Filed after " &amp; (T49-S49) &amp; " days of deadline", "Filed within deadline"), IF(TODAY()&gt;S49, "Delayed by " &amp; (TODAY()-S49) &amp; " days", (S49-TODAY()) &amp; " days left")))</f>
        <v>Filed after 32 days of deadline</v>
      </c>
      <c r="AT49" s="21" t="str">
        <f ca="1">IF(OR(TRIM(U49)="", U49=0), "No F26 deadline to compare", IF(AND(TRIM(V49)&lt;&gt;"", ISNUMBER(V49)), IF(V49&gt;U49, "Filed after " &amp; (V49-U49) &amp; " days of deadline", "Filed within deadline"), IF(TODAY()&gt;U49, "Delayed by " &amp; (TODAY()-U49) &amp; " days", (U49-TODAY()) &amp; " days left")))</f>
        <v>Filed after 5 days of deadline</v>
      </c>
      <c r="AU49" s="22"/>
      <c r="AV49" s="22"/>
      <c r="AW49" s="22"/>
      <c r="AX49" s="21"/>
      <c r="AY49" s="22"/>
      <c r="AZ49" s="22"/>
      <c r="BA49" s="22"/>
      <c r="BB49" s="21"/>
      <c r="BC49" s="21"/>
      <c r="BD49" s="21"/>
      <c r="BE49" s="21"/>
      <c r="BF49" s="21"/>
      <c r="BG49" s="21"/>
      <c r="BH49" s="13" t="str">
        <f>IF(AND(AP49&lt;&gt;"",ISNUMBER(AP49)),"Patent Refused",IF(AND(AN49&lt;&gt;"",ISNUMBER(AN49)),"Patent Granted",IF(AND(AM49&lt;&gt;"",ISNUMBER(AM49)),"WS Filed",IF(AND(AND(AK49&lt;&gt;"",ISNUMBER(AK49)),NOT(AND(AM49&lt;&gt;"",ISNUMBER(AM49)))),"Hearing Attended - WS Not Filed",IF(AND(AND(AJ49&lt;&gt;"",ISNUMBER(AJ49)),NOT(AND(AK49&lt;&gt;"",ISNUMBER(AK49)))),"Hearing Issued",IF(AND(AG49&lt;&gt;"",ISNUMBER(AG49)),"FER Reply Filed",IF(AND(AND(AE49&lt;&gt;"",ISNUMBER(AE49)),NOT(AND(AG49&lt;&gt;"",ISNUMBER(AG49)))),"FER Received - Reply Not Filed",IF(AND(AB49&lt;&gt;"",ISNUMBER(AB49)),"Published",IF(AND(AND(X49&lt;&gt;"",ISNUMBER(X49)),AND(AA49&lt;&gt;"",ISNUMBER(AA49))),"F9 &amp; F18 Filed",IF(AND(NOT(AND(X49&lt;&gt;"",ISNUMBER(X49))),AND(AA49&lt;&gt;"",ISNUMBER(AA49))),"F9 Not Filed - F18 Filed",IF(AND(AND(X49&lt;&gt;"",ISNUMBER(X49)),NOT(AND(AA49&lt;&gt;"",ISNUMBER(AA49)))),"F9 Filed - F18 Not Filed",IF(AND(NOT(AND(L49&lt;&gt;"",ISNUMBER(L49))),AND(Q49&lt;&gt;"",ISNUMBER(Q49)),NOT(AND(X49&lt;&gt;"",ISNUMBER(X49))),NOT(AND(AA49&lt;&gt;"",ISNUMBER(AA49)))),"Direct CS Filed - F9 &amp; F18 Not Filed",IF(AND(AND(L49&lt;&gt;"",ISNUMBER(L49)),AND(Q49&lt;&gt;"",ISNUMBER(Q49)),NOT(AND(X49&lt;&gt;"",ISNUMBER(X49))),NOT(AND(AA49&lt;&gt;"",ISNUMBER(AA49)))),"PS-CS Filed - F9 &amp; F18 Not Filed",IF(AND(AND(L49&lt;&gt;"",ISNUMBER(L49)),NOT(AND(Q49&lt;&gt;"",ISNUMBER(Q49)))),"PS Filed - CS Not Filed","Not Started"))))))))))))))</f>
        <v>Published</v>
      </c>
      <c r="BI49" s="23"/>
      <c r="BJ49" s="31"/>
      <c r="BK49" s="31"/>
    </row>
    <row r="50" spans="1:63" ht="263.64999999999998">
      <c r="A50" s="33" t="s">
        <v>340</v>
      </c>
      <c r="B50" s="14" t="s">
        <v>341</v>
      </c>
      <c r="C50" s="13" t="s">
        <v>81</v>
      </c>
      <c r="D50" s="13" t="s">
        <v>67</v>
      </c>
      <c r="E50" s="15" t="s">
        <v>490</v>
      </c>
      <c r="F50" s="13" t="s">
        <v>342</v>
      </c>
      <c r="G50" s="13" t="s">
        <v>344</v>
      </c>
      <c r="H50" s="13" t="s">
        <v>326</v>
      </c>
      <c r="I50" s="13" t="s">
        <v>345</v>
      </c>
      <c r="J50" s="13" t="s">
        <v>75</v>
      </c>
      <c r="K50" s="13">
        <v>202441096698</v>
      </c>
      <c r="L50" s="17">
        <v>45632</v>
      </c>
      <c r="M50" s="18">
        <v>45814</v>
      </c>
      <c r="N50" s="13" t="s">
        <v>84</v>
      </c>
      <c r="O50" s="18" t="str">
        <f t="shared" si="0"/>
        <v>0 months left (0 days)</v>
      </c>
      <c r="P50" s="18">
        <f t="shared" si="1"/>
        <v>46179</v>
      </c>
      <c r="Q50" s="17" t="s">
        <v>151</v>
      </c>
      <c r="R50" s="18"/>
      <c r="S50" s="17">
        <f t="shared" si="2"/>
        <v>45997</v>
      </c>
      <c r="T50" s="17"/>
      <c r="U50" s="17">
        <f t="shared" si="3"/>
        <v>45906</v>
      </c>
      <c r="V50" s="17">
        <v>45680</v>
      </c>
      <c r="W50" s="13" t="s">
        <v>108</v>
      </c>
      <c r="X50" s="17" t="s">
        <v>75</v>
      </c>
      <c r="Y50" s="17"/>
      <c r="Z50" s="18"/>
      <c r="AA50" s="17" t="s">
        <v>75</v>
      </c>
      <c r="AB50" s="17" t="s">
        <v>75</v>
      </c>
      <c r="AC50" s="18" t="e">
        <f t="shared" si="7"/>
        <v>#VALUE!</v>
      </c>
      <c r="AD50" s="19" t="str">
        <f t="shared" si="4"/>
        <v>NA</v>
      </c>
      <c r="AE50" s="17" t="s">
        <v>75</v>
      </c>
      <c r="AF50" s="18" t="str">
        <f t="shared" si="5"/>
        <v>NA</v>
      </c>
      <c r="AG50" s="19" t="s">
        <v>75</v>
      </c>
      <c r="AH50" s="17"/>
      <c r="AI50" s="18" t="str">
        <f t="shared" si="6"/>
        <v>NA</v>
      </c>
      <c r="AJ50" s="17" t="s">
        <v>75</v>
      </c>
      <c r="AK50" s="17" t="s">
        <v>75</v>
      </c>
      <c r="AL50" s="17"/>
      <c r="AM50" s="17" t="s">
        <v>75</v>
      </c>
      <c r="AN50" s="17" t="s">
        <v>75</v>
      </c>
      <c r="AO50" s="17"/>
      <c r="AP50" s="17" t="s">
        <v>75</v>
      </c>
      <c r="AQ50" s="17" t="s">
        <v>75</v>
      </c>
      <c r="AR50" s="17" t="s">
        <v>75</v>
      </c>
      <c r="AS50" s="13" t="str">
        <f ca="1">IF(OR(S50=0, S50=""), "No F1 deadline to compare", IF(T50&gt;0, IF(T50&gt;S50, "Filed after " &amp; (T50-S50) &amp; " days of deadline", "Filed within deadline"), IF(TODAY()&gt;S50, "Delayed by " &amp; (TODAY()-S50) &amp; " days", (S50-TODAY()) &amp; " days left")))</f>
        <v>Delayed by 324 days</v>
      </c>
      <c r="AT50" s="21" t="str">
        <f ca="1">IF(OR(TRIM(U50)="", U50=0), "No F26 deadline to compare", IF(AND(TRIM(V50)&lt;&gt;"", ISNUMBER(V50)), IF(V50&gt;U50, "Filed after " &amp; (V50-U50) &amp; " days of deadline", "Filed within deadline"), IF(TODAY()&gt;U50, "Delayed by " &amp; (TODAY()-U50) &amp; " days", (U50-TODAY()) &amp; " days left")))</f>
        <v>Filed within deadline</v>
      </c>
      <c r="AU50" s="22"/>
      <c r="AV50" s="22"/>
      <c r="AW50" s="22"/>
      <c r="AX50" s="21"/>
      <c r="AY50" s="22"/>
      <c r="AZ50" s="22"/>
      <c r="BA50" s="22"/>
      <c r="BB50" s="21"/>
      <c r="BC50" s="21"/>
      <c r="BD50" s="21"/>
      <c r="BE50" s="21"/>
      <c r="BF50" s="21"/>
      <c r="BG50" s="21"/>
      <c r="BH50" s="13" t="str">
        <f>IF(AND(AP50&lt;&gt;"",ISNUMBER(AP50)),"Patent Refused",IF(AND(AN50&lt;&gt;"",ISNUMBER(AN50)),"Patent Granted",IF(AND(AM50&lt;&gt;"",ISNUMBER(AM50)),"WS Filed",IF(AND(AND(AK50&lt;&gt;"",ISNUMBER(AK50)),NOT(AND(AM50&lt;&gt;"",ISNUMBER(AM50)))),"Hearing Attended - WS Not Filed",IF(AND(AND(AJ50&lt;&gt;"",ISNUMBER(AJ50)),NOT(AND(AK50&lt;&gt;"",ISNUMBER(AK50)))),"Hearing Issued",IF(AND(AG50&lt;&gt;"",ISNUMBER(AG50)),"FER Reply Filed",IF(AND(AND(AE50&lt;&gt;"",ISNUMBER(AE50)),NOT(AND(AG50&lt;&gt;"",ISNUMBER(AG50)))),"FER Received - Reply Not Filed",IF(AND(AB50&lt;&gt;"",ISNUMBER(AB50)),"Published",IF(AND(AND(X50&lt;&gt;"",ISNUMBER(X50)),AND(AA50&lt;&gt;"",ISNUMBER(AA50))),"F9 &amp; F18 Filed",IF(AND(NOT(AND(X50&lt;&gt;"",ISNUMBER(X50))),AND(AA50&lt;&gt;"",ISNUMBER(AA50))),"F9 Not Filed - F18 Filed",IF(AND(AND(X50&lt;&gt;"",ISNUMBER(X50)),NOT(AND(AA50&lt;&gt;"",ISNUMBER(AA50)))),"F9 Filed - F18 Not Filed",IF(AND(NOT(AND(L50&lt;&gt;"",ISNUMBER(L50))),AND(Q50&lt;&gt;"",ISNUMBER(Q50)),NOT(AND(X50&lt;&gt;"",ISNUMBER(X50))),NOT(AND(AA50&lt;&gt;"",ISNUMBER(AA50)))),"Direct CS Filed - F9 &amp; F18 Not Filed",IF(AND(AND(L50&lt;&gt;"",ISNUMBER(L50)),AND(Q50&lt;&gt;"",ISNUMBER(Q50)),NOT(AND(X50&lt;&gt;"",ISNUMBER(X50))),NOT(AND(AA50&lt;&gt;"",ISNUMBER(AA50)))),"PS-CS Filed - F9 &amp; F18 Not Filed",IF(AND(AND(L50&lt;&gt;"",ISNUMBER(L50)),NOT(AND(Q50&lt;&gt;"",ISNUMBER(Q50)))),"PS Filed - CS Not Filed","Not Started"))))))))))))))</f>
        <v>PS Filed - CS Not Filed</v>
      </c>
      <c r="BI50" s="23"/>
      <c r="BJ50" s="31"/>
      <c r="BK50" s="31"/>
    </row>
    <row r="51" spans="1:63" ht="249.75">
      <c r="A51" s="33" t="s">
        <v>347</v>
      </c>
      <c r="B51" s="14" t="s">
        <v>348</v>
      </c>
      <c r="C51" s="13" t="s">
        <v>81</v>
      </c>
      <c r="D51" s="13" t="s">
        <v>67</v>
      </c>
      <c r="E51" s="15" t="s">
        <v>490</v>
      </c>
      <c r="F51" s="13" t="s">
        <v>349</v>
      </c>
      <c r="G51" s="13" t="s">
        <v>350</v>
      </c>
      <c r="H51" s="13" t="s">
        <v>351</v>
      </c>
      <c r="I51" s="13" t="s">
        <v>345</v>
      </c>
      <c r="J51" s="13" t="s">
        <v>75</v>
      </c>
      <c r="K51" s="13">
        <v>202441096699</v>
      </c>
      <c r="L51" s="17">
        <v>45632</v>
      </c>
      <c r="M51" s="18">
        <v>45814</v>
      </c>
      <c r="N51" s="13" t="s">
        <v>84</v>
      </c>
      <c r="O51" s="18" t="str">
        <f t="shared" si="0"/>
        <v>0 months left (0 days)</v>
      </c>
      <c r="P51" s="18">
        <f t="shared" si="1"/>
        <v>46179</v>
      </c>
      <c r="Q51" s="17" t="s">
        <v>151</v>
      </c>
      <c r="R51" s="18"/>
      <c r="S51" s="17">
        <f t="shared" si="2"/>
        <v>45997</v>
      </c>
      <c r="T51" s="17"/>
      <c r="U51" s="17">
        <f t="shared" si="3"/>
        <v>45906</v>
      </c>
      <c r="V51" s="17">
        <v>45680</v>
      </c>
      <c r="W51" s="13" t="s">
        <v>108</v>
      </c>
      <c r="X51" s="17" t="s">
        <v>75</v>
      </c>
      <c r="Y51" s="17"/>
      <c r="Z51" s="18"/>
      <c r="AA51" s="17" t="s">
        <v>75</v>
      </c>
      <c r="AB51" s="17" t="s">
        <v>75</v>
      </c>
      <c r="AC51" s="18" t="e">
        <f t="shared" si="7"/>
        <v>#VALUE!</v>
      </c>
      <c r="AD51" s="19" t="str">
        <f t="shared" si="4"/>
        <v>NA</v>
      </c>
      <c r="AE51" s="17" t="s">
        <v>75</v>
      </c>
      <c r="AF51" s="18" t="str">
        <f t="shared" si="5"/>
        <v>NA</v>
      </c>
      <c r="AG51" s="19" t="s">
        <v>75</v>
      </c>
      <c r="AH51" s="17"/>
      <c r="AI51" s="18" t="str">
        <f t="shared" si="6"/>
        <v>NA</v>
      </c>
      <c r="AJ51" s="17" t="s">
        <v>75</v>
      </c>
      <c r="AK51" s="17" t="s">
        <v>75</v>
      </c>
      <c r="AL51" s="17"/>
      <c r="AM51" s="17" t="s">
        <v>75</v>
      </c>
      <c r="AN51" s="17" t="s">
        <v>75</v>
      </c>
      <c r="AO51" s="17"/>
      <c r="AP51" s="17" t="s">
        <v>75</v>
      </c>
      <c r="AQ51" s="17" t="s">
        <v>75</v>
      </c>
      <c r="AR51" s="17" t="s">
        <v>75</v>
      </c>
      <c r="AS51" s="13" t="str">
        <f ca="1">IF(OR(S51=0, S51=""), "No F1 deadline to compare", IF(T51&gt;0, IF(T51&gt;S51, "Filed after " &amp; (T51-S51) &amp; " days of deadline", "Filed within deadline"), IF(TODAY()&gt;S51, "Delayed by " &amp; (TODAY()-S51) &amp; " days", (S51-TODAY()) &amp; " days left")))</f>
        <v>Delayed by 324 days</v>
      </c>
      <c r="AT51" s="21" t="str">
        <f ca="1">IF(OR(TRIM(U51)="", U51=0), "No F26 deadline to compare", IF(AND(TRIM(V51)&lt;&gt;"", ISNUMBER(V51)), IF(V51&gt;U51, "Filed after " &amp; (V51-U51) &amp; " days of deadline", "Filed within deadline"), IF(TODAY()&gt;U51, "Delayed by " &amp; (TODAY()-U51) &amp; " days", (U51-TODAY()) &amp; " days left")))</f>
        <v>Filed within deadline</v>
      </c>
      <c r="AU51" s="22"/>
      <c r="AV51" s="22"/>
      <c r="AW51" s="22"/>
      <c r="AX51" s="21"/>
      <c r="AY51" s="22"/>
      <c r="AZ51" s="22"/>
      <c r="BA51" s="22"/>
      <c r="BB51" s="21"/>
      <c r="BC51" s="21"/>
      <c r="BD51" s="21"/>
      <c r="BE51" s="21"/>
      <c r="BF51" s="21"/>
      <c r="BG51" s="21"/>
      <c r="BH51" s="13" t="str">
        <f>IF(AND(AP51&lt;&gt;"",ISNUMBER(AP51)),"Patent Refused",IF(AND(AN51&lt;&gt;"",ISNUMBER(AN51)),"Patent Granted",IF(AND(AM51&lt;&gt;"",ISNUMBER(AM51)),"WS Filed",IF(AND(AND(AK51&lt;&gt;"",ISNUMBER(AK51)),NOT(AND(AM51&lt;&gt;"",ISNUMBER(AM51)))),"Hearing Attended - WS Not Filed",IF(AND(AND(AJ51&lt;&gt;"",ISNUMBER(AJ51)),NOT(AND(AK51&lt;&gt;"",ISNUMBER(AK51)))),"Hearing Issued",IF(AND(AG51&lt;&gt;"",ISNUMBER(AG51)),"FER Reply Filed",IF(AND(AND(AE51&lt;&gt;"",ISNUMBER(AE51)),NOT(AND(AG51&lt;&gt;"",ISNUMBER(AG51)))),"FER Received - Reply Not Filed",IF(AND(AB51&lt;&gt;"",ISNUMBER(AB51)),"Published",IF(AND(AND(X51&lt;&gt;"",ISNUMBER(X51)),AND(AA51&lt;&gt;"",ISNUMBER(AA51))),"F9 &amp; F18 Filed",IF(AND(NOT(AND(X51&lt;&gt;"",ISNUMBER(X51))),AND(AA51&lt;&gt;"",ISNUMBER(AA51))),"F9 Not Filed - F18 Filed",IF(AND(AND(X51&lt;&gt;"",ISNUMBER(X51)),NOT(AND(AA51&lt;&gt;"",ISNUMBER(AA51)))),"F9 Filed - F18 Not Filed",IF(AND(NOT(AND(L51&lt;&gt;"",ISNUMBER(L51))),AND(Q51&lt;&gt;"",ISNUMBER(Q51)),NOT(AND(X51&lt;&gt;"",ISNUMBER(X51))),NOT(AND(AA51&lt;&gt;"",ISNUMBER(AA51)))),"Direct CS Filed - F9 &amp; F18 Not Filed",IF(AND(AND(L51&lt;&gt;"",ISNUMBER(L51)),AND(Q51&lt;&gt;"",ISNUMBER(Q51)),NOT(AND(X51&lt;&gt;"",ISNUMBER(X51))),NOT(AND(AA51&lt;&gt;"",ISNUMBER(AA51)))),"PS-CS Filed - F9 &amp; F18 Not Filed",IF(AND(AND(L51&lt;&gt;"",ISNUMBER(L51)),NOT(AND(Q51&lt;&gt;"",ISNUMBER(Q51)))),"PS Filed - CS Not Filed","Not Started"))))))))))))))</f>
        <v>PS Filed - CS Not Filed</v>
      </c>
      <c r="BI51" s="23"/>
      <c r="BJ51" s="31"/>
      <c r="BK51" s="31"/>
    </row>
    <row r="52" spans="1:63" ht="263.64999999999998">
      <c r="A52" s="33" t="s">
        <v>354</v>
      </c>
      <c r="B52" s="14" t="s">
        <v>355</v>
      </c>
      <c r="C52" s="13" t="s">
        <v>81</v>
      </c>
      <c r="D52" s="13" t="s">
        <v>67</v>
      </c>
      <c r="E52" s="15" t="s">
        <v>490</v>
      </c>
      <c r="F52" s="13" t="s">
        <v>356</v>
      </c>
      <c r="G52" s="13" t="s">
        <v>350</v>
      </c>
      <c r="H52" s="13" t="s">
        <v>351</v>
      </c>
      <c r="I52" s="13" t="s">
        <v>345</v>
      </c>
      <c r="J52" s="13" t="s">
        <v>75</v>
      </c>
      <c r="K52" s="13">
        <v>202441096718</v>
      </c>
      <c r="L52" s="17">
        <v>45632</v>
      </c>
      <c r="M52" s="18">
        <v>45814</v>
      </c>
      <c r="N52" s="18"/>
      <c r="O52" s="18" t="str">
        <f t="shared" si="0"/>
        <v>0 months left (0 days)</v>
      </c>
      <c r="P52" s="18">
        <f t="shared" si="1"/>
        <v>46179</v>
      </c>
      <c r="Q52" s="17" t="s">
        <v>151</v>
      </c>
      <c r="R52" s="18"/>
      <c r="S52" s="17">
        <f t="shared" si="2"/>
        <v>45997</v>
      </c>
      <c r="T52" s="17"/>
      <c r="U52" s="17">
        <f t="shared" si="3"/>
        <v>45906</v>
      </c>
      <c r="V52" s="17">
        <v>45680</v>
      </c>
      <c r="W52" s="13" t="s">
        <v>108</v>
      </c>
      <c r="X52" s="17" t="s">
        <v>75</v>
      </c>
      <c r="Y52" s="17"/>
      <c r="Z52" s="18"/>
      <c r="AA52" s="17" t="s">
        <v>75</v>
      </c>
      <c r="AB52" s="17" t="s">
        <v>75</v>
      </c>
      <c r="AC52" s="18" t="e">
        <f t="shared" si="7"/>
        <v>#VALUE!</v>
      </c>
      <c r="AD52" s="19" t="str">
        <f t="shared" si="4"/>
        <v>NA</v>
      </c>
      <c r="AE52" s="17" t="s">
        <v>75</v>
      </c>
      <c r="AF52" s="18" t="str">
        <f t="shared" si="5"/>
        <v>NA</v>
      </c>
      <c r="AG52" s="19" t="s">
        <v>75</v>
      </c>
      <c r="AH52" s="17"/>
      <c r="AI52" s="18" t="str">
        <f t="shared" si="6"/>
        <v>NA</v>
      </c>
      <c r="AJ52" s="17" t="s">
        <v>75</v>
      </c>
      <c r="AK52" s="17" t="s">
        <v>75</v>
      </c>
      <c r="AL52" s="17"/>
      <c r="AM52" s="17" t="s">
        <v>75</v>
      </c>
      <c r="AN52" s="17" t="s">
        <v>75</v>
      </c>
      <c r="AO52" s="17"/>
      <c r="AP52" s="17" t="s">
        <v>75</v>
      </c>
      <c r="AQ52" s="17" t="s">
        <v>75</v>
      </c>
      <c r="AR52" s="17" t="s">
        <v>75</v>
      </c>
      <c r="AS52" s="13" t="str">
        <f ca="1">IF(OR(S52=0, S52=""), "No F1 deadline to compare", IF(T52&gt;0, IF(T52&gt;S52, "Filed after " &amp; (T52-S52) &amp; " days of deadline", "Filed within deadline"), IF(TODAY()&gt;S52, "Delayed by " &amp; (TODAY()-S52) &amp; " days", (S52-TODAY()) &amp; " days left")))</f>
        <v>Delayed by 324 days</v>
      </c>
      <c r="AT52" s="21" t="str">
        <f ca="1">IF(OR(TRIM(U52)="", U52=0), "No F26 deadline to compare", IF(AND(TRIM(V52)&lt;&gt;"", ISNUMBER(V52)), IF(V52&gt;U52, "Filed after " &amp; (V52-U52) &amp; " days of deadline", "Filed within deadline"), IF(TODAY()&gt;U52, "Delayed by " &amp; (TODAY()-U52) &amp; " days", (U52-TODAY()) &amp; " days left")))</f>
        <v>Filed within deadline</v>
      </c>
      <c r="AU52" s="22"/>
      <c r="AV52" s="22"/>
      <c r="AW52" s="22"/>
      <c r="AX52" s="21"/>
      <c r="AY52" s="22"/>
      <c r="AZ52" s="22"/>
      <c r="BA52" s="22"/>
      <c r="BB52" s="21"/>
      <c r="BC52" s="21"/>
      <c r="BD52" s="21"/>
      <c r="BE52" s="21"/>
      <c r="BF52" s="21"/>
      <c r="BG52" s="21"/>
      <c r="BH52" s="13" t="str">
        <f>IF(AND(AP52&lt;&gt;"",ISNUMBER(AP52)),"Patent Refused",IF(AND(AN52&lt;&gt;"",ISNUMBER(AN52)),"Patent Granted",IF(AND(AM52&lt;&gt;"",ISNUMBER(AM52)),"WS Filed",IF(AND(AND(AK52&lt;&gt;"",ISNUMBER(AK52)),NOT(AND(AM52&lt;&gt;"",ISNUMBER(AM52)))),"Hearing Attended - WS Not Filed",IF(AND(AND(AJ52&lt;&gt;"",ISNUMBER(AJ52)),NOT(AND(AK52&lt;&gt;"",ISNUMBER(AK52)))),"Hearing Issued",IF(AND(AG52&lt;&gt;"",ISNUMBER(AG52)),"FER Reply Filed",IF(AND(AND(AE52&lt;&gt;"",ISNUMBER(AE52)),NOT(AND(AG52&lt;&gt;"",ISNUMBER(AG52)))),"FER Received - Reply Not Filed",IF(AND(AB52&lt;&gt;"",ISNUMBER(AB52)),"Published",IF(AND(AND(X52&lt;&gt;"",ISNUMBER(X52)),AND(AA52&lt;&gt;"",ISNUMBER(AA52))),"F9 &amp; F18 Filed",IF(AND(NOT(AND(X52&lt;&gt;"",ISNUMBER(X52))),AND(AA52&lt;&gt;"",ISNUMBER(AA52))),"F9 Not Filed - F18 Filed",IF(AND(AND(X52&lt;&gt;"",ISNUMBER(X52)),NOT(AND(AA52&lt;&gt;"",ISNUMBER(AA52)))),"F9 Filed - F18 Not Filed",IF(AND(NOT(AND(L52&lt;&gt;"",ISNUMBER(L52))),AND(Q52&lt;&gt;"",ISNUMBER(Q52)),NOT(AND(X52&lt;&gt;"",ISNUMBER(X52))),NOT(AND(AA52&lt;&gt;"",ISNUMBER(AA52)))),"Direct CS Filed - F9 &amp; F18 Not Filed",IF(AND(AND(L52&lt;&gt;"",ISNUMBER(L52)),AND(Q52&lt;&gt;"",ISNUMBER(Q52)),NOT(AND(X52&lt;&gt;"",ISNUMBER(X52))),NOT(AND(AA52&lt;&gt;"",ISNUMBER(AA52)))),"PS-CS Filed - F9 &amp; F18 Not Filed",IF(AND(AND(L52&lt;&gt;"",ISNUMBER(L52)),NOT(AND(Q52&lt;&gt;"",ISNUMBER(Q52)))),"PS Filed - CS Not Filed","Not Started"))))))))))))))</f>
        <v>PS Filed - CS Not Filed</v>
      </c>
      <c r="BI52" s="23"/>
      <c r="BJ52" s="31"/>
      <c r="BK52" s="31"/>
    </row>
    <row r="53" spans="1:63" ht="180.4">
      <c r="A53" s="33" t="s">
        <v>493</v>
      </c>
      <c r="B53" s="14" t="s">
        <v>494</v>
      </c>
      <c r="C53" s="13" t="s">
        <v>96</v>
      </c>
      <c r="D53" s="13" t="s">
        <v>67</v>
      </c>
      <c r="E53" s="15" t="s">
        <v>490</v>
      </c>
      <c r="F53" s="13" t="s">
        <v>495</v>
      </c>
      <c r="G53" s="13" t="s">
        <v>350</v>
      </c>
      <c r="H53" s="13" t="s">
        <v>351</v>
      </c>
      <c r="I53" s="13" t="s">
        <v>345</v>
      </c>
      <c r="J53" s="13" t="s">
        <v>75</v>
      </c>
      <c r="K53" s="13">
        <v>202441096980</v>
      </c>
      <c r="L53" s="17">
        <v>45817</v>
      </c>
      <c r="M53" s="18"/>
      <c r="N53" s="18"/>
      <c r="O53" s="18" t="str">
        <f t="shared" si="0"/>
        <v>Not yet Postdated</v>
      </c>
      <c r="P53" s="18">
        <f t="shared" si="1"/>
        <v>46182</v>
      </c>
      <c r="Q53" s="17" t="s">
        <v>151</v>
      </c>
      <c r="R53" s="18"/>
      <c r="S53" s="17">
        <f t="shared" si="2"/>
        <v>46000</v>
      </c>
      <c r="T53" s="17"/>
      <c r="U53" s="17">
        <f t="shared" si="3"/>
        <v>45909</v>
      </c>
      <c r="V53" s="17">
        <v>45680</v>
      </c>
      <c r="W53" s="13" t="s">
        <v>108</v>
      </c>
      <c r="X53" s="17" t="s">
        <v>75</v>
      </c>
      <c r="Y53" s="17"/>
      <c r="Z53" s="18"/>
      <c r="AA53" s="17" t="s">
        <v>75</v>
      </c>
      <c r="AB53" s="17" t="s">
        <v>75</v>
      </c>
      <c r="AC53" s="18" t="e">
        <f t="shared" si="7"/>
        <v>#VALUE!</v>
      </c>
      <c r="AD53" s="19" t="str">
        <f t="shared" si="4"/>
        <v>NA</v>
      </c>
      <c r="AE53" s="17" t="s">
        <v>75</v>
      </c>
      <c r="AF53" s="18" t="str">
        <f t="shared" si="5"/>
        <v>NA</v>
      </c>
      <c r="AG53" s="19" t="s">
        <v>75</v>
      </c>
      <c r="AH53" s="17"/>
      <c r="AI53" s="18" t="str">
        <f t="shared" si="6"/>
        <v>NA</v>
      </c>
      <c r="AJ53" s="17" t="s">
        <v>75</v>
      </c>
      <c r="AK53" s="17" t="s">
        <v>75</v>
      </c>
      <c r="AL53" s="17"/>
      <c r="AM53" s="17" t="s">
        <v>75</v>
      </c>
      <c r="AN53" s="17" t="s">
        <v>75</v>
      </c>
      <c r="AO53" s="17"/>
      <c r="AP53" s="17" t="s">
        <v>75</v>
      </c>
      <c r="AQ53" s="17" t="s">
        <v>75</v>
      </c>
      <c r="AR53" s="17" t="s">
        <v>75</v>
      </c>
      <c r="AS53" s="13" t="str">
        <f ca="1">IF(OR(S53=0, S53=""), "No F1 deadline to compare", IF(T53&gt;0, IF(T53&gt;S53, "Filed after " &amp; (T53-S53) &amp; " days of deadline", "Filed within deadline"), IF(TODAY()&gt;S53, "Delayed by " &amp; (TODAY()-S53) &amp; " days", (S53-TODAY()) &amp; " days left")))</f>
        <v>Delayed by 321 days</v>
      </c>
      <c r="AT53" s="21" t="str">
        <f ca="1">IF(OR(TRIM(U53)="", U53=0), "No F26 deadline to compare", IF(AND(TRIM(V53)&lt;&gt;"", ISNUMBER(V53)), IF(V53&gt;U53, "Filed after " &amp; (V53-U53) &amp; " days of deadline", "Filed within deadline"), IF(TODAY()&gt;U53, "Delayed by " &amp; (TODAY()-U53) &amp; " days", (U53-TODAY()) &amp; " days left")))</f>
        <v>Filed within deadline</v>
      </c>
      <c r="AU53" s="22"/>
      <c r="AV53" s="22"/>
      <c r="AW53" s="22"/>
      <c r="AX53" s="21"/>
      <c r="AY53" s="22"/>
      <c r="AZ53" s="22"/>
      <c r="BA53" s="22"/>
      <c r="BB53" s="21"/>
      <c r="BC53" s="21"/>
      <c r="BD53" s="21"/>
      <c r="BE53" s="21"/>
      <c r="BF53" s="21"/>
      <c r="BG53" s="21"/>
      <c r="BH53" s="13" t="str">
        <f>IF(AND(AP53&lt;&gt;"",ISNUMBER(AP53)),"Patent Refused",IF(AND(AN53&lt;&gt;"",ISNUMBER(AN53)),"Patent Granted",IF(AND(AM53&lt;&gt;"",ISNUMBER(AM53)),"WS Filed",IF(AND(AND(AK53&lt;&gt;"",ISNUMBER(AK53)),NOT(AND(AM53&lt;&gt;"",ISNUMBER(AM53)))),"Hearing Attended - WS Not Filed",IF(AND(AND(AJ53&lt;&gt;"",ISNUMBER(AJ53)),NOT(AND(AK53&lt;&gt;"",ISNUMBER(AK53)))),"Hearing Issued",IF(AND(AG53&lt;&gt;"",ISNUMBER(AG53)),"FER Reply Filed",IF(AND(AND(AE53&lt;&gt;"",ISNUMBER(AE53)),NOT(AND(AG53&lt;&gt;"",ISNUMBER(AG53)))),"FER Received - Reply Not Filed",IF(AND(AB53&lt;&gt;"",ISNUMBER(AB53)),"Published",IF(AND(AND(X53&lt;&gt;"",ISNUMBER(X53)),AND(AA53&lt;&gt;"",ISNUMBER(AA53))),"F9 &amp; F18 Filed",IF(AND(NOT(AND(X53&lt;&gt;"",ISNUMBER(X53))),AND(AA53&lt;&gt;"",ISNUMBER(AA53))),"F9 Not Filed - F18 Filed",IF(AND(AND(X53&lt;&gt;"",ISNUMBER(X53)),NOT(AND(AA53&lt;&gt;"",ISNUMBER(AA53)))),"F9 Filed - F18 Not Filed",IF(AND(NOT(AND(L53&lt;&gt;"",ISNUMBER(L53))),AND(Q53&lt;&gt;"",ISNUMBER(Q53)),NOT(AND(X53&lt;&gt;"",ISNUMBER(X53))),NOT(AND(AA53&lt;&gt;"",ISNUMBER(AA53)))),"Direct CS Filed - F9 &amp; F18 Not Filed",IF(AND(AND(L53&lt;&gt;"",ISNUMBER(L53)),AND(Q53&lt;&gt;"",ISNUMBER(Q53)),NOT(AND(X53&lt;&gt;"",ISNUMBER(X53))),NOT(AND(AA53&lt;&gt;"",ISNUMBER(AA53)))),"PS-CS Filed - F9 &amp; F18 Not Filed",IF(AND(AND(L53&lt;&gt;"",ISNUMBER(L53)),NOT(AND(Q53&lt;&gt;"",ISNUMBER(Q53)))),"PS Filed - CS Not Filed","Not Started"))))))))))))))</f>
        <v>PS Filed - CS Not Filed</v>
      </c>
      <c r="BI53" s="23"/>
      <c r="BJ53" s="31"/>
      <c r="BK53" s="31"/>
    </row>
    <row r="54" spans="1:63" ht="194.25">
      <c r="A54" s="33" t="s">
        <v>358</v>
      </c>
      <c r="B54" s="14" t="s">
        <v>359</v>
      </c>
      <c r="C54" s="13" t="s">
        <v>81</v>
      </c>
      <c r="D54" s="13" t="s">
        <v>67</v>
      </c>
      <c r="E54" s="15" t="s">
        <v>490</v>
      </c>
      <c r="F54" s="13" t="s">
        <v>360</v>
      </c>
      <c r="G54" s="13" t="s">
        <v>350</v>
      </c>
      <c r="H54" s="13" t="s">
        <v>351</v>
      </c>
      <c r="I54" s="13" t="s">
        <v>345</v>
      </c>
      <c r="J54" s="13" t="s">
        <v>75</v>
      </c>
      <c r="K54" s="13">
        <v>202441096981</v>
      </c>
      <c r="L54" s="17">
        <v>45635</v>
      </c>
      <c r="M54" s="18">
        <v>45817</v>
      </c>
      <c r="N54" s="13" t="s">
        <v>84</v>
      </c>
      <c r="O54" s="18" t="str">
        <f t="shared" si="0"/>
        <v>0 months left (0 days)</v>
      </c>
      <c r="P54" s="18">
        <f t="shared" si="1"/>
        <v>46182</v>
      </c>
      <c r="Q54" s="17" t="s">
        <v>151</v>
      </c>
      <c r="R54" s="18"/>
      <c r="S54" s="17">
        <f t="shared" si="2"/>
        <v>46000</v>
      </c>
      <c r="T54" s="17"/>
      <c r="U54" s="17">
        <f t="shared" si="3"/>
        <v>45909</v>
      </c>
      <c r="V54" s="17">
        <v>45680</v>
      </c>
      <c r="W54" s="13" t="s">
        <v>108</v>
      </c>
      <c r="X54" s="17" t="s">
        <v>75</v>
      </c>
      <c r="Y54" s="17"/>
      <c r="Z54" s="18"/>
      <c r="AA54" s="17" t="s">
        <v>75</v>
      </c>
      <c r="AB54" s="17" t="s">
        <v>75</v>
      </c>
      <c r="AC54" s="18" t="e">
        <f t="shared" si="7"/>
        <v>#VALUE!</v>
      </c>
      <c r="AD54" s="19" t="str">
        <f t="shared" si="4"/>
        <v>NA</v>
      </c>
      <c r="AE54" s="17" t="s">
        <v>75</v>
      </c>
      <c r="AF54" s="18" t="str">
        <f t="shared" si="5"/>
        <v>NA</v>
      </c>
      <c r="AG54" s="19" t="s">
        <v>75</v>
      </c>
      <c r="AH54" s="17"/>
      <c r="AI54" s="18" t="str">
        <f t="shared" si="6"/>
        <v>NA</v>
      </c>
      <c r="AJ54" s="17" t="s">
        <v>75</v>
      </c>
      <c r="AK54" s="17" t="s">
        <v>75</v>
      </c>
      <c r="AL54" s="17"/>
      <c r="AM54" s="17" t="s">
        <v>75</v>
      </c>
      <c r="AN54" s="17" t="s">
        <v>75</v>
      </c>
      <c r="AO54" s="17"/>
      <c r="AP54" s="17" t="s">
        <v>75</v>
      </c>
      <c r="AQ54" s="17" t="s">
        <v>75</v>
      </c>
      <c r="AR54" s="17" t="s">
        <v>75</v>
      </c>
      <c r="AS54" s="13" t="str">
        <f ca="1">IF(OR(S54=0, S54=""), "No F1 deadline to compare", IF(T54&gt;0, IF(T54&gt;S54, "Filed after " &amp; (T54-S54) &amp; " days of deadline", "Filed within deadline"), IF(TODAY()&gt;S54, "Delayed by " &amp; (TODAY()-S54) &amp; " days", (S54-TODAY()) &amp; " days left")))</f>
        <v>Delayed by 321 days</v>
      </c>
      <c r="AT54" s="21" t="str">
        <f ca="1">IF(OR(TRIM(U54)="", U54=0), "No F26 deadline to compare", IF(AND(TRIM(V54)&lt;&gt;"", ISNUMBER(V54)), IF(V54&gt;U54, "Filed after " &amp; (V54-U54) &amp; " days of deadline", "Filed within deadline"), IF(TODAY()&gt;U54, "Delayed by " &amp; (TODAY()-U54) &amp; " days", (U54-TODAY()) &amp; " days left")))</f>
        <v>Filed within deadline</v>
      </c>
      <c r="AU54" s="22"/>
      <c r="AV54" s="22"/>
      <c r="AW54" s="22"/>
      <c r="AX54" s="21"/>
      <c r="AY54" s="22"/>
      <c r="AZ54" s="22"/>
      <c r="BA54" s="22"/>
      <c r="BB54" s="21"/>
      <c r="BC54" s="21"/>
      <c r="BD54" s="21"/>
      <c r="BE54" s="21"/>
      <c r="BF54" s="21"/>
      <c r="BG54" s="21"/>
      <c r="BH54" s="13" t="str">
        <f>IF(AND(AP54&lt;&gt;"",ISNUMBER(AP54)),"Patent Refused",IF(AND(AN54&lt;&gt;"",ISNUMBER(AN54)),"Patent Granted",IF(AND(AM54&lt;&gt;"",ISNUMBER(AM54)),"WS Filed",IF(AND(AND(AK54&lt;&gt;"",ISNUMBER(AK54)),NOT(AND(AM54&lt;&gt;"",ISNUMBER(AM54)))),"Hearing Attended - WS Not Filed",IF(AND(AND(AJ54&lt;&gt;"",ISNUMBER(AJ54)),NOT(AND(AK54&lt;&gt;"",ISNUMBER(AK54)))),"Hearing Issued",IF(AND(AG54&lt;&gt;"",ISNUMBER(AG54)),"FER Reply Filed",IF(AND(AND(AE54&lt;&gt;"",ISNUMBER(AE54)),NOT(AND(AG54&lt;&gt;"",ISNUMBER(AG54)))),"FER Received - Reply Not Filed",IF(AND(AB54&lt;&gt;"",ISNUMBER(AB54)),"Published",IF(AND(AND(X54&lt;&gt;"",ISNUMBER(X54)),AND(AA54&lt;&gt;"",ISNUMBER(AA54))),"F9 &amp; F18 Filed",IF(AND(NOT(AND(X54&lt;&gt;"",ISNUMBER(X54))),AND(AA54&lt;&gt;"",ISNUMBER(AA54))),"F9 Not Filed - F18 Filed",IF(AND(AND(X54&lt;&gt;"",ISNUMBER(X54)),NOT(AND(AA54&lt;&gt;"",ISNUMBER(AA54)))),"F9 Filed - F18 Not Filed",IF(AND(NOT(AND(L54&lt;&gt;"",ISNUMBER(L54))),AND(Q54&lt;&gt;"",ISNUMBER(Q54)),NOT(AND(X54&lt;&gt;"",ISNUMBER(X54))),NOT(AND(AA54&lt;&gt;"",ISNUMBER(AA54)))),"Direct CS Filed - F9 &amp; F18 Not Filed",IF(AND(AND(L54&lt;&gt;"",ISNUMBER(L54)),AND(Q54&lt;&gt;"",ISNUMBER(Q54)),NOT(AND(X54&lt;&gt;"",ISNUMBER(X54))),NOT(AND(AA54&lt;&gt;"",ISNUMBER(AA54)))),"PS-CS Filed - F9 &amp; F18 Not Filed",IF(AND(AND(L54&lt;&gt;"",ISNUMBER(L54)),NOT(AND(Q54&lt;&gt;"",ISNUMBER(Q54)))),"PS Filed - CS Not Filed","Not Started"))))))))))))))</f>
        <v>PS Filed - CS Not Filed</v>
      </c>
      <c r="BI54" s="23"/>
      <c r="BJ54" s="31"/>
      <c r="BK54" s="31"/>
    </row>
    <row r="55" spans="1:63" ht="222">
      <c r="A55" s="33" t="s">
        <v>366</v>
      </c>
      <c r="B55" s="14" t="s">
        <v>367</v>
      </c>
      <c r="C55" s="13" t="s">
        <v>81</v>
      </c>
      <c r="D55" s="13" t="s">
        <v>67</v>
      </c>
      <c r="E55" s="15" t="s">
        <v>490</v>
      </c>
      <c r="F55" s="13" t="s">
        <v>368</v>
      </c>
      <c r="G55" s="13" t="s">
        <v>350</v>
      </c>
      <c r="H55" s="13" t="s">
        <v>351</v>
      </c>
      <c r="I55" s="13" t="s">
        <v>345</v>
      </c>
      <c r="J55" s="13" t="s">
        <v>75</v>
      </c>
      <c r="K55" s="13">
        <v>202441097217</v>
      </c>
      <c r="L55" s="17">
        <v>45636</v>
      </c>
      <c r="M55" s="18">
        <v>45818</v>
      </c>
      <c r="N55" s="18"/>
      <c r="O55" s="18" t="str">
        <f t="shared" si="0"/>
        <v>0 months left (0 days)</v>
      </c>
      <c r="P55" s="18">
        <f t="shared" si="1"/>
        <v>46183</v>
      </c>
      <c r="Q55" s="17" t="s">
        <v>151</v>
      </c>
      <c r="R55" s="18"/>
      <c r="S55" s="17">
        <f t="shared" si="2"/>
        <v>46001</v>
      </c>
      <c r="T55" s="17"/>
      <c r="U55" s="17">
        <f t="shared" si="3"/>
        <v>45910</v>
      </c>
      <c r="V55" s="17">
        <v>45680</v>
      </c>
      <c r="W55" s="13" t="s">
        <v>108</v>
      </c>
      <c r="X55" s="17" t="s">
        <v>75</v>
      </c>
      <c r="Y55" s="17"/>
      <c r="Z55" s="18"/>
      <c r="AA55" s="17" t="s">
        <v>75</v>
      </c>
      <c r="AB55" s="17" t="s">
        <v>75</v>
      </c>
      <c r="AC55" s="18" t="e">
        <f t="shared" si="7"/>
        <v>#VALUE!</v>
      </c>
      <c r="AD55" s="19" t="str">
        <f t="shared" si="4"/>
        <v>NA</v>
      </c>
      <c r="AE55" s="17" t="s">
        <v>75</v>
      </c>
      <c r="AF55" s="18" t="str">
        <f t="shared" si="5"/>
        <v>NA</v>
      </c>
      <c r="AG55" s="19" t="s">
        <v>75</v>
      </c>
      <c r="AH55" s="17"/>
      <c r="AI55" s="18" t="str">
        <f t="shared" si="6"/>
        <v>NA</v>
      </c>
      <c r="AJ55" s="17" t="s">
        <v>75</v>
      </c>
      <c r="AK55" s="17" t="s">
        <v>75</v>
      </c>
      <c r="AL55" s="17"/>
      <c r="AM55" s="17" t="s">
        <v>75</v>
      </c>
      <c r="AN55" s="17" t="s">
        <v>75</v>
      </c>
      <c r="AO55" s="17"/>
      <c r="AP55" s="17" t="s">
        <v>75</v>
      </c>
      <c r="AQ55" s="17" t="s">
        <v>75</v>
      </c>
      <c r="AR55" s="17" t="s">
        <v>75</v>
      </c>
      <c r="AS55" s="13" t="str">
        <f ca="1">IF(OR(S55=0, S55=""), "No F1 deadline to compare", IF(T55&gt;0, IF(T55&gt;S55, "Filed after " &amp; (T55-S55) &amp; " days of deadline", "Filed within deadline"), IF(TODAY()&gt;S55, "Delayed by " &amp; (TODAY()-S55) &amp; " days", (S55-TODAY()) &amp; " days left")))</f>
        <v>Delayed by 320 days</v>
      </c>
      <c r="AT55" s="21" t="str">
        <f ca="1">IF(OR(TRIM(U55)="", U55=0), "No F26 deadline to compare", IF(AND(TRIM(V55)&lt;&gt;"", ISNUMBER(V55)), IF(V55&gt;U55, "Filed after " &amp; (V55-U55) &amp; " days of deadline", "Filed within deadline"), IF(TODAY()&gt;U55, "Delayed by " &amp; (TODAY()-U55) &amp; " days", (U55-TODAY()) &amp; " days left")))</f>
        <v>Filed within deadline</v>
      </c>
      <c r="AU55" s="22"/>
      <c r="AV55" s="22"/>
      <c r="AW55" s="22"/>
      <c r="AX55" s="21"/>
      <c r="AY55" s="22"/>
      <c r="AZ55" s="22"/>
      <c r="BA55" s="22"/>
      <c r="BB55" s="21"/>
      <c r="BC55" s="21"/>
      <c r="BD55" s="21"/>
      <c r="BE55" s="21"/>
      <c r="BF55" s="21"/>
      <c r="BG55" s="21"/>
      <c r="BH55" s="13" t="str">
        <f>IF(AND(AP55&lt;&gt;"",ISNUMBER(AP55)),"Patent Refused",IF(AND(AN55&lt;&gt;"",ISNUMBER(AN55)),"Patent Granted",IF(AND(AM55&lt;&gt;"",ISNUMBER(AM55)),"WS Filed",IF(AND(AND(AK55&lt;&gt;"",ISNUMBER(AK55)),NOT(AND(AM55&lt;&gt;"",ISNUMBER(AM55)))),"Hearing Attended - WS Not Filed",IF(AND(AND(AJ55&lt;&gt;"",ISNUMBER(AJ55)),NOT(AND(AK55&lt;&gt;"",ISNUMBER(AK55)))),"Hearing Issued",IF(AND(AG55&lt;&gt;"",ISNUMBER(AG55)),"FER Reply Filed",IF(AND(AND(AE55&lt;&gt;"",ISNUMBER(AE55)),NOT(AND(AG55&lt;&gt;"",ISNUMBER(AG55)))),"FER Received - Reply Not Filed",IF(AND(AB55&lt;&gt;"",ISNUMBER(AB55)),"Published",IF(AND(AND(X55&lt;&gt;"",ISNUMBER(X55)),AND(AA55&lt;&gt;"",ISNUMBER(AA55))),"F9 &amp; F18 Filed",IF(AND(NOT(AND(X55&lt;&gt;"",ISNUMBER(X55))),AND(AA55&lt;&gt;"",ISNUMBER(AA55))),"F9 Not Filed - F18 Filed",IF(AND(AND(X55&lt;&gt;"",ISNUMBER(X55)),NOT(AND(AA55&lt;&gt;"",ISNUMBER(AA55)))),"F9 Filed - F18 Not Filed",IF(AND(NOT(AND(L55&lt;&gt;"",ISNUMBER(L55))),AND(Q55&lt;&gt;"",ISNUMBER(Q55)),NOT(AND(X55&lt;&gt;"",ISNUMBER(X55))),NOT(AND(AA55&lt;&gt;"",ISNUMBER(AA55)))),"Direct CS Filed - F9 &amp; F18 Not Filed",IF(AND(AND(L55&lt;&gt;"",ISNUMBER(L55)),AND(Q55&lt;&gt;"",ISNUMBER(Q55)),NOT(AND(X55&lt;&gt;"",ISNUMBER(X55))),NOT(AND(AA55&lt;&gt;"",ISNUMBER(AA55)))),"PS-CS Filed - F9 &amp; F18 Not Filed",IF(AND(AND(L55&lt;&gt;"",ISNUMBER(L55)),NOT(AND(Q55&lt;&gt;"",ISNUMBER(Q55)))),"PS Filed - CS Not Filed","Not Started"))))))))))))))</f>
        <v>PS Filed - CS Not Filed</v>
      </c>
      <c r="BI55" s="23"/>
      <c r="BJ55" s="31"/>
      <c r="BK55" s="31"/>
    </row>
    <row r="56" spans="1:63" ht="263.64999999999998">
      <c r="A56" s="33" t="s">
        <v>369</v>
      </c>
      <c r="B56" s="14" t="s">
        <v>370</v>
      </c>
      <c r="C56" s="13" t="s">
        <v>81</v>
      </c>
      <c r="D56" s="13" t="s">
        <v>67</v>
      </c>
      <c r="E56" s="15" t="s">
        <v>490</v>
      </c>
      <c r="F56" s="13" t="s">
        <v>371</v>
      </c>
      <c r="G56" s="13" t="s">
        <v>350</v>
      </c>
      <c r="H56" s="13" t="s">
        <v>351</v>
      </c>
      <c r="I56" s="13" t="s">
        <v>345</v>
      </c>
      <c r="J56" s="13" t="s">
        <v>75</v>
      </c>
      <c r="K56" s="13">
        <v>202441096982</v>
      </c>
      <c r="L56" s="17">
        <v>45635</v>
      </c>
      <c r="M56" s="18">
        <v>45817</v>
      </c>
      <c r="N56" s="18"/>
      <c r="O56" s="18" t="str">
        <f t="shared" si="0"/>
        <v>0 months left (0 days)</v>
      </c>
      <c r="P56" s="18">
        <f t="shared" si="1"/>
        <v>46182</v>
      </c>
      <c r="Q56" s="17" t="s">
        <v>151</v>
      </c>
      <c r="R56" s="18"/>
      <c r="S56" s="17">
        <f t="shared" si="2"/>
        <v>46000</v>
      </c>
      <c r="T56" s="17"/>
      <c r="U56" s="17">
        <f t="shared" si="3"/>
        <v>45909</v>
      </c>
      <c r="V56" s="17">
        <v>45680</v>
      </c>
      <c r="W56" s="13" t="s">
        <v>108</v>
      </c>
      <c r="X56" s="17" t="s">
        <v>75</v>
      </c>
      <c r="Y56" s="17"/>
      <c r="Z56" s="18"/>
      <c r="AA56" s="17" t="s">
        <v>75</v>
      </c>
      <c r="AB56" s="17" t="s">
        <v>75</v>
      </c>
      <c r="AC56" s="18" t="e">
        <f t="shared" si="7"/>
        <v>#VALUE!</v>
      </c>
      <c r="AD56" s="19" t="str">
        <f t="shared" si="4"/>
        <v>NA</v>
      </c>
      <c r="AE56" s="17" t="s">
        <v>75</v>
      </c>
      <c r="AF56" s="18" t="str">
        <f t="shared" si="5"/>
        <v>NA</v>
      </c>
      <c r="AG56" s="19" t="s">
        <v>75</v>
      </c>
      <c r="AH56" s="17"/>
      <c r="AI56" s="18" t="str">
        <f t="shared" si="6"/>
        <v>NA</v>
      </c>
      <c r="AJ56" s="17" t="s">
        <v>75</v>
      </c>
      <c r="AK56" s="17" t="s">
        <v>75</v>
      </c>
      <c r="AL56" s="17"/>
      <c r="AM56" s="17" t="s">
        <v>75</v>
      </c>
      <c r="AN56" s="17" t="s">
        <v>75</v>
      </c>
      <c r="AO56" s="17"/>
      <c r="AP56" s="17" t="s">
        <v>75</v>
      </c>
      <c r="AQ56" s="17" t="s">
        <v>75</v>
      </c>
      <c r="AR56" s="17" t="s">
        <v>75</v>
      </c>
      <c r="AS56" s="13" t="str">
        <f ca="1">IF(OR(S56=0, S56=""), "No F1 deadline to compare", IF(T56&gt;0, IF(T56&gt;S56, "Filed after " &amp; (T56-S56) &amp; " days of deadline", "Filed within deadline"), IF(TODAY()&gt;S56, "Delayed by " &amp; (TODAY()-S56) &amp; " days", (S56-TODAY()) &amp; " days left")))</f>
        <v>Delayed by 321 days</v>
      </c>
      <c r="AT56" s="21" t="str">
        <f ca="1">IF(OR(TRIM(U56)="", U56=0), "No F26 deadline to compare", IF(AND(TRIM(V56)&lt;&gt;"", ISNUMBER(V56)), IF(V56&gt;U56, "Filed after " &amp; (V56-U56) &amp; " days of deadline", "Filed within deadline"), IF(TODAY()&gt;U56, "Delayed by " &amp; (TODAY()-U56) &amp; " days", (U56-TODAY()) &amp; " days left")))</f>
        <v>Filed within deadline</v>
      </c>
      <c r="AU56" s="22"/>
      <c r="AV56" s="22"/>
      <c r="AW56" s="22"/>
      <c r="AX56" s="21"/>
      <c r="AY56" s="22"/>
      <c r="AZ56" s="22"/>
      <c r="BA56" s="22"/>
      <c r="BB56" s="21"/>
      <c r="BC56" s="21"/>
      <c r="BD56" s="21"/>
      <c r="BE56" s="21"/>
      <c r="BF56" s="21"/>
      <c r="BG56" s="21"/>
      <c r="BH56" s="13" t="str">
        <f>IF(AND(AP56&lt;&gt;"",ISNUMBER(AP56)),"Patent Refused",IF(AND(AN56&lt;&gt;"",ISNUMBER(AN56)),"Patent Granted",IF(AND(AM56&lt;&gt;"",ISNUMBER(AM56)),"WS Filed",IF(AND(AND(AK56&lt;&gt;"",ISNUMBER(AK56)),NOT(AND(AM56&lt;&gt;"",ISNUMBER(AM56)))),"Hearing Attended - WS Not Filed",IF(AND(AND(AJ56&lt;&gt;"",ISNUMBER(AJ56)),NOT(AND(AK56&lt;&gt;"",ISNUMBER(AK56)))),"Hearing Issued",IF(AND(AG56&lt;&gt;"",ISNUMBER(AG56)),"FER Reply Filed",IF(AND(AND(AE56&lt;&gt;"",ISNUMBER(AE56)),NOT(AND(AG56&lt;&gt;"",ISNUMBER(AG56)))),"FER Received - Reply Not Filed",IF(AND(AB56&lt;&gt;"",ISNUMBER(AB56)),"Published",IF(AND(AND(X56&lt;&gt;"",ISNUMBER(X56)),AND(AA56&lt;&gt;"",ISNUMBER(AA56))),"F9 &amp; F18 Filed",IF(AND(NOT(AND(X56&lt;&gt;"",ISNUMBER(X56))),AND(AA56&lt;&gt;"",ISNUMBER(AA56))),"F9 Not Filed - F18 Filed",IF(AND(AND(X56&lt;&gt;"",ISNUMBER(X56)),NOT(AND(AA56&lt;&gt;"",ISNUMBER(AA56)))),"F9 Filed - F18 Not Filed",IF(AND(NOT(AND(L56&lt;&gt;"",ISNUMBER(L56))),AND(Q56&lt;&gt;"",ISNUMBER(Q56)),NOT(AND(X56&lt;&gt;"",ISNUMBER(X56))),NOT(AND(AA56&lt;&gt;"",ISNUMBER(AA56)))),"Direct CS Filed - F9 &amp; F18 Not Filed",IF(AND(AND(L56&lt;&gt;"",ISNUMBER(L56)),AND(Q56&lt;&gt;"",ISNUMBER(Q56)),NOT(AND(X56&lt;&gt;"",ISNUMBER(X56))),NOT(AND(AA56&lt;&gt;"",ISNUMBER(AA56)))),"PS-CS Filed - F9 &amp; F18 Not Filed",IF(AND(AND(L56&lt;&gt;"",ISNUMBER(L56)),NOT(AND(Q56&lt;&gt;"",ISNUMBER(Q56)))),"PS Filed - CS Not Filed","Not Started"))))))))))))))</f>
        <v>PS Filed - CS Not Filed</v>
      </c>
      <c r="BI56" s="23"/>
      <c r="BJ56" s="31"/>
      <c r="BK56" s="31"/>
    </row>
    <row r="57" spans="1:63" ht="291.39999999999998">
      <c r="A57" s="13" t="s">
        <v>374</v>
      </c>
      <c r="B57" s="14" t="s">
        <v>375</v>
      </c>
      <c r="C57" s="13" t="s">
        <v>96</v>
      </c>
      <c r="D57" s="13" t="s">
        <v>67</v>
      </c>
      <c r="E57" s="15" t="s">
        <v>496</v>
      </c>
      <c r="F57" s="13" t="s">
        <v>379</v>
      </c>
      <c r="G57" s="13" t="s">
        <v>497</v>
      </c>
      <c r="H57" s="13" t="s">
        <v>498</v>
      </c>
      <c r="I57" s="13" t="s">
        <v>205</v>
      </c>
      <c r="J57" s="13" t="s">
        <v>75</v>
      </c>
      <c r="K57" s="13">
        <v>202441096704</v>
      </c>
      <c r="L57" s="17">
        <v>45632</v>
      </c>
      <c r="M57" s="18"/>
      <c r="N57" s="18"/>
      <c r="O57" s="18" t="str">
        <f t="shared" si="0"/>
        <v>Not yet Postdated</v>
      </c>
      <c r="P57" s="18">
        <f t="shared" si="1"/>
        <v>45997</v>
      </c>
      <c r="Q57" s="17">
        <v>45780</v>
      </c>
      <c r="R57" s="18"/>
      <c r="S57" s="17">
        <f t="shared" si="2"/>
        <v>45814</v>
      </c>
      <c r="T57" s="17">
        <v>46108</v>
      </c>
      <c r="U57" s="17">
        <f t="shared" si="3"/>
        <v>45722</v>
      </c>
      <c r="V57" s="17">
        <v>45680</v>
      </c>
      <c r="W57" s="13" t="s">
        <v>89</v>
      </c>
      <c r="X57" s="17">
        <v>45827</v>
      </c>
      <c r="Y57" s="17"/>
      <c r="Z57" s="18"/>
      <c r="AA57" s="17">
        <v>45852</v>
      </c>
      <c r="AB57" s="17">
        <v>45835</v>
      </c>
      <c r="AC57" s="18" t="e">
        <f t="shared" si="7"/>
        <v>#VALUE!</v>
      </c>
      <c r="AD57" s="19" t="str">
        <f t="shared" si="4"/>
        <v>26/2025</v>
      </c>
      <c r="AE57" s="17" t="s">
        <v>75</v>
      </c>
      <c r="AF57" s="18" t="str">
        <f t="shared" si="5"/>
        <v>NA</v>
      </c>
      <c r="AG57" s="19" t="s">
        <v>75</v>
      </c>
      <c r="AH57" s="17"/>
      <c r="AI57" s="18" t="str">
        <f t="shared" si="6"/>
        <v>NA</v>
      </c>
      <c r="AJ57" s="17" t="s">
        <v>75</v>
      </c>
      <c r="AK57" s="17" t="s">
        <v>75</v>
      </c>
      <c r="AL57" s="17"/>
      <c r="AM57" s="17" t="s">
        <v>75</v>
      </c>
      <c r="AN57" s="17" t="s">
        <v>75</v>
      </c>
      <c r="AO57" s="17"/>
      <c r="AP57" s="17" t="s">
        <v>75</v>
      </c>
      <c r="AQ57" s="17" t="s">
        <v>75</v>
      </c>
      <c r="AR57" s="17" t="s">
        <v>75</v>
      </c>
      <c r="AS57" s="13" t="str">
        <f ca="1">IF(OR(S57=0, S57=""), "No F1 deadline to compare", IF(T57&gt;0, IF(T57&gt;S57, "Filed after " &amp; (T57-S57) &amp; " days of deadline", "Filed within deadline"), IF(TODAY()&gt;S57, "Delayed by " &amp; (TODAY()-S57) &amp; " days", (S57-TODAY()) &amp; " days left")))</f>
        <v>Filed after 294 days of deadline</v>
      </c>
      <c r="AT57" s="21" t="str">
        <f ca="1">IF(OR(TRIM(U57)="", U57=0), "No F26 deadline to compare", IF(AND(TRIM(V57)&lt;&gt;"", ISNUMBER(V57)), IF(V57&gt;U57, "Filed after " &amp; (V57-U57) &amp; " days of deadline", "Filed within deadline"), IF(TODAY()&gt;U57, "Delayed by " &amp; (TODAY()-U57) &amp; " days", (U57-TODAY()) &amp; " days left")))</f>
        <v>Filed within deadline</v>
      </c>
      <c r="AU57" s="22"/>
      <c r="AV57" s="22"/>
      <c r="AW57" s="22"/>
      <c r="AX57" s="21"/>
      <c r="AY57" s="22"/>
      <c r="AZ57" s="22"/>
      <c r="BA57" s="22"/>
      <c r="BB57" s="21"/>
      <c r="BC57" s="21"/>
      <c r="BD57" s="21"/>
      <c r="BE57" s="21"/>
      <c r="BF57" s="21"/>
      <c r="BG57" s="21"/>
      <c r="BH57" s="13" t="str">
        <f>IF(AND(AP57&lt;&gt;"",ISNUMBER(AP57)),"Patent Refused",IF(AND(AN57&lt;&gt;"",ISNUMBER(AN57)),"Patent Granted",IF(AND(AM57&lt;&gt;"",ISNUMBER(AM57)),"WS Filed",IF(AND(AND(AK57&lt;&gt;"",ISNUMBER(AK57)),NOT(AND(AM57&lt;&gt;"",ISNUMBER(AM57)))),"Hearing Attended - WS Not Filed",IF(AND(AND(AJ57&lt;&gt;"",ISNUMBER(AJ57)),NOT(AND(AK57&lt;&gt;"",ISNUMBER(AK57)))),"Hearing Issued",IF(AND(AG57&lt;&gt;"",ISNUMBER(AG57)),"FER Reply Filed",IF(AND(AND(AE57&lt;&gt;"",ISNUMBER(AE57)),NOT(AND(AG57&lt;&gt;"",ISNUMBER(AG57)))),"FER Received - Reply Not Filed",IF(AND(AB57&lt;&gt;"",ISNUMBER(AB57)),"Published",IF(AND(AND(X57&lt;&gt;"",ISNUMBER(X57)),AND(AA57&lt;&gt;"",ISNUMBER(AA57))),"F9 &amp; F18 Filed",IF(AND(NOT(AND(X57&lt;&gt;"",ISNUMBER(X57))),AND(AA57&lt;&gt;"",ISNUMBER(AA57))),"F9 Not Filed - F18 Filed",IF(AND(AND(X57&lt;&gt;"",ISNUMBER(X57)),NOT(AND(AA57&lt;&gt;"",ISNUMBER(AA57)))),"F9 Filed - F18 Not Filed",IF(AND(NOT(AND(L57&lt;&gt;"",ISNUMBER(L57))),AND(Q57&lt;&gt;"",ISNUMBER(Q57)),NOT(AND(X57&lt;&gt;"",ISNUMBER(X57))),NOT(AND(AA57&lt;&gt;"",ISNUMBER(AA57)))),"Direct CS Filed - F9 &amp; F18 Not Filed",IF(AND(AND(L57&lt;&gt;"",ISNUMBER(L57)),AND(Q57&lt;&gt;"",ISNUMBER(Q57)),NOT(AND(X57&lt;&gt;"",ISNUMBER(X57))),NOT(AND(AA57&lt;&gt;"",ISNUMBER(AA57)))),"PS-CS Filed - F9 &amp; F18 Not Filed",IF(AND(AND(L57&lt;&gt;"",ISNUMBER(L57)),NOT(AND(Q57&lt;&gt;"",ISNUMBER(Q57)))),"PS Filed - CS Not Filed","Not Started"))))))))))))))</f>
        <v>Published</v>
      </c>
      <c r="BI57" s="23"/>
      <c r="BJ57" s="31"/>
      <c r="BK57" s="31"/>
    </row>
    <row r="58" spans="1:63" ht="409.5">
      <c r="A58" s="13" t="s">
        <v>383</v>
      </c>
      <c r="B58" s="14" t="s">
        <v>384</v>
      </c>
      <c r="C58" s="13" t="s">
        <v>81</v>
      </c>
      <c r="D58" s="13" t="s">
        <v>67</v>
      </c>
      <c r="E58" s="15" t="s">
        <v>499</v>
      </c>
      <c r="F58" s="13" t="s">
        <v>385</v>
      </c>
      <c r="G58" s="13" t="s">
        <v>386</v>
      </c>
      <c r="H58" s="13" t="s">
        <v>387</v>
      </c>
      <c r="I58" s="13" t="s">
        <v>388</v>
      </c>
      <c r="J58" s="13" t="s">
        <v>75</v>
      </c>
      <c r="K58" s="13">
        <v>202441101985</v>
      </c>
      <c r="L58" s="17">
        <v>45649</v>
      </c>
      <c r="M58" s="18">
        <v>45739</v>
      </c>
      <c r="N58" s="18"/>
      <c r="O58" s="18" t="str">
        <f t="shared" si="0"/>
        <v>3 months left (92 days)</v>
      </c>
      <c r="P58" s="18">
        <f t="shared" si="1"/>
        <v>46104</v>
      </c>
      <c r="Q58" s="17">
        <v>46014</v>
      </c>
      <c r="R58" s="18"/>
      <c r="S58" s="17">
        <f t="shared" si="2"/>
        <v>45923</v>
      </c>
      <c r="T58" s="17">
        <v>46105</v>
      </c>
      <c r="U58" s="17">
        <f t="shared" si="3"/>
        <v>45831</v>
      </c>
      <c r="V58" s="17">
        <v>45680</v>
      </c>
      <c r="W58" s="13" t="s">
        <v>108</v>
      </c>
      <c r="X58" s="17"/>
      <c r="Y58" s="17"/>
      <c r="Z58" s="18"/>
      <c r="AA58" s="17" t="s">
        <v>75</v>
      </c>
      <c r="AB58" s="17">
        <v>46290</v>
      </c>
      <c r="AC58" s="18" t="e">
        <f t="shared" si="7"/>
        <v>#VALUE!</v>
      </c>
      <c r="AD58" s="19" t="str">
        <f t="shared" si="4"/>
        <v>39/2026</v>
      </c>
      <c r="AE58" s="17" t="s">
        <v>75</v>
      </c>
      <c r="AF58" s="18" t="str">
        <f t="shared" si="5"/>
        <v>NA</v>
      </c>
      <c r="AG58" s="19" t="s">
        <v>75</v>
      </c>
      <c r="AH58" s="17"/>
      <c r="AI58" s="18" t="str">
        <f t="shared" si="6"/>
        <v>NA</v>
      </c>
      <c r="AJ58" s="17" t="s">
        <v>75</v>
      </c>
      <c r="AK58" s="17" t="s">
        <v>75</v>
      </c>
      <c r="AL58" s="17"/>
      <c r="AM58" s="17" t="s">
        <v>75</v>
      </c>
      <c r="AN58" s="17" t="s">
        <v>75</v>
      </c>
      <c r="AO58" s="17"/>
      <c r="AP58" s="17" t="s">
        <v>75</v>
      </c>
      <c r="AQ58" s="17" t="s">
        <v>75</v>
      </c>
      <c r="AR58" s="17" t="s">
        <v>75</v>
      </c>
      <c r="AS58" s="13" t="str">
        <f ca="1">IF(OR(S58=0, S58=""), "No F1 deadline to compare", IF(T58&gt;0, IF(T58&gt;S58, "Filed after " &amp; (T58-S58) &amp; " days of deadline", "Filed within deadline"), IF(TODAY()&gt;S58, "Delayed by " &amp; (TODAY()-S58) &amp; " days", (S58-TODAY()) &amp; " days left")))</f>
        <v>Filed after 182 days of deadline</v>
      </c>
      <c r="AT58" s="21" t="str">
        <f ca="1">IF(OR(TRIM(U58)="", U58=0), "No F26 deadline to compare", IF(AND(TRIM(V58)&lt;&gt;"", ISNUMBER(V58)), IF(V58&gt;U58, "Filed after " &amp; (V58-U58) &amp; " days of deadline", "Filed within deadline"), IF(TODAY()&gt;U58, "Delayed by " &amp; (TODAY()-U58) &amp; " days", (U58-TODAY()) &amp; " days left")))</f>
        <v>Filed within deadline</v>
      </c>
      <c r="AU58" s="22"/>
      <c r="AV58" s="22"/>
      <c r="AW58" s="22"/>
      <c r="AX58" s="21"/>
      <c r="AY58" s="22"/>
      <c r="AZ58" s="22"/>
      <c r="BA58" s="22"/>
      <c r="BB58" s="21"/>
      <c r="BC58" s="21"/>
      <c r="BD58" s="21"/>
      <c r="BE58" s="21"/>
      <c r="BF58" s="21"/>
      <c r="BG58" s="21"/>
      <c r="BH58" s="13" t="str">
        <f>IF(AND(AP58&lt;&gt;"",ISNUMBER(AP58)),"Patent Refused",IF(AND(AN58&lt;&gt;"",ISNUMBER(AN58)),"Patent Granted",IF(AND(AM58&lt;&gt;"",ISNUMBER(AM58)),"WS Filed",IF(AND(AND(AK58&lt;&gt;"",ISNUMBER(AK58)),NOT(AND(AM58&lt;&gt;"",ISNUMBER(AM58)))),"Hearing Attended - WS Not Filed",IF(AND(AND(AJ58&lt;&gt;"",ISNUMBER(AJ58)),NOT(AND(AK58&lt;&gt;"",ISNUMBER(AK58)))),"Hearing Issued",IF(AND(AG58&lt;&gt;"",ISNUMBER(AG58)),"FER Reply Filed",IF(AND(AND(AE58&lt;&gt;"",ISNUMBER(AE58)),NOT(AND(AG58&lt;&gt;"",ISNUMBER(AG58)))),"FER Received - Reply Not Filed",IF(AND(AB58&lt;&gt;"",ISNUMBER(AB58)),"Published",IF(AND(AND(X58&lt;&gt;"",ISNUMBER(X58)),AND(AA58&lt;&gt;"",ISNUMBER(AA58))),"F9 &amp; F18 Filed",IF(AND(NOT(AND(X58&lt;&gt;"",ISNUMBER(X58))),AND(AA58&lt;&gt;"",ISNUMBER(AA58))),"F9 Not Filed - F18 Filed",IF(AND(AND(X58&lt;&gt;"",ISNUMBER(X58)),NOT(AND(AA58&lt;&gt;"",ISNUMBER(AA58)))),"F9 Filed - F18 Not Filed",IF(AND(NOT(AND(L58&lt;&gt;"",ISNUMBER(L58))),AND(Q58&lt;&gt;"",ISNUMBER(Q58)),NOT(AND(X58&lt;&gt;"",ISNUMBER(X58))),NOT(AND(AA58&lt;&gt;"",ISNUMBER(AA58)))),"Direct CS Filed - F9 &amp; F18 Not Filed",IF(AND(AND(L58&lt;&gt;"",ISNUMBER(L58)),AND(Q58&lt;&gt;"",ISNUMBER(Q58)),NOT(AND(X58&lt;&gt;"",ISNUMBER(X58))),NOT(AND(AA58&lt;&gt;"",ISNUMBER(AA58)))),"PS-CS Filed - F9 &amp; F18 Not Filed",IF(AND(AND(L58&lt;&gt;"",ISNUMBER(L58)),NOT(AND(Q58&lt;&gt;"",ISNUMBER(Q58)))),"PS Filed - CS Not Filed","Not Started"))))))))))))))</f>
        <v>Published</v>
      </c>
      <c r="BI58" s="23"/>
      <c r="BJ58" s="31"/>
      <c r="BK58" s="31"/>
    </row>
    <row r="59" spans="1:63" ht="166.5">
      <c r="A59" s="33" t="s">
        <v>389</v>
      </c>
      <c r="B59" s="14" t="s">
        <v>390</v>
      </c>
      <c r="C59" s="13" t="s">
        <v>81</v>
      </c>
      <c r="D59" s="13" t="s">
        <v>67</v>
      </c>
      <c r="E59" s="15" t="s">
        <v>500</v>
      </c>
      <c r="F59" s="13" t="s">
        <v>391</v>
      </c>
      <c r="G59" s="13" t="s">
        <v>392</v>
      </c>
      <c r="H59" s="13" t="s">
        <v>393</v>
      </c>
      <c r="I59" s="13" t="s">
        <v>394</v>
      </c>
      <c r="J59" s="13" t="s">
        <v>75</v>
      </c>
      <c r="K59" s="13">
        <v>202441096705</v>
      </c>
      <c r="L59" s="17">
        <v>45632</v>
      </c>
      <c r="M59" s="18">
        <v>45814</v>
      </c>
      <c r="N59" s="18"/>
      <c r="O59" s="18" t="str">
        <f t="shared" si="0"/>
        <v>0 months left (0 days)</v>
      </c>
      <c r="P59" s="18">
        <f t="shared" si="1"/>
        <v>46179</v>
      </c>
      <c r="Q59" s="17" t="s">
        <v>151</v>
      </c>
      <c r="R59" s="18"/>
      <c r="S59" s="17">
        <f t="shared" si="2"/>
        <v>45997</v>
      </c>
      <c r="T59" s="17"/>
      <c r="U59" s="17">
        <f t="shared" si="3"/>
        <v>45906</v>
      </c>
      <c r="V59" s="17">
        <v>45680</v>
      </c>
      <c r="W59" s="13" t="s">
        <v>108</v>
      </c>
      <c r="X59" s="17" t="s">
        <v>75</v>
      </c>
      <c r="Y59" s="17"/>
      <c r="Z59" s="18"/>
      <c r="AA59" s="17" t="s">
        <v>75</v>
      </c>
      <c r="AB59" s="17" t="s">
        <v>75</v>
      </c>
      <c r="AC59" s="18" t="e">
        <f t="shared" si="7"/>
        <v>#VALUE!</v>
      </c>
      <c r="AD59" s="19" t="str">
        <f t="shared" si="4"/>
        <v>NA</v>
      </c>
      <c r="AE59" s="17" t="s">
        <v>75</v>
      </c>
      <c r="AF59" s="18" t="str">
        <f t="shared" si="5"/>
        <v>NA</v>
      </c>
      <c r="AG59" s="19" t="s">
        <v>75</v>
      </c>
      <c r="AH59" s="17"/>
      <c r="AI59" s="18" t="str">
        <f t="shared" si="6"/>
        <v>NA</v>
      </c>
      <c r="AJ59" s="17" t="s">
        <v>75</v>
      </c>
      <c r="AK59" s="17" t="s">
        <v>75</v>
      </c>
      <c r="AL59" s="17"/>
      <c r="AM59" s="17" t="s">
        <v>75</v>
      </c>
      <c r="AN59" s="17" t="s">
        <v>75</v>
      </c>
      <c r="AO59" s="17"/>
      <c r="AP59" s="17" t="s">
        <v>75</v>
      </c>
      <c r="AQ59" s="17" t="s">
        <v>75</v>
      </c>
      <c r="AR59" s="17" t="s">
        <v>75</v>
      </c>
      <c r="AS59" s="13" t="str">
        <f ca="1">IF(OR(S59=0, S59=""), "No F1 deadline to compare", IF(T59&gt;0, IF(T59&gt;S59, "Filed after " &amp; (T59-S59) &amp; " days of deadline", "Filed within deadline"), IF(TODAY()&gt;S59, "Delayed by " &amp; (TODAY()-S59) &amp; " days", (S59-TODAY()) &amp; " days left")))</f>
        <v>Delayed by 324 days</v>
      </c>
      <c r="AT59" s="21" t="str">
        <f ca="1">IF(OR(TRIM(U59)="", U59=0), "No F26 deadline to compare", IF(AND(TRIM(V59)&lt;&gt;"", ISNUMBER(V59)), IF(V59&gt;U59, "Filed after " &amp; (V59-U59) &amp; " days of deadline", "Filed within deadline"), IF(TODAY()&gt;U59, "Delayed by " &amp; (TODAY()-U59) &amp; " days", (U59-TODAY()) &amp; " days left")))</f>
        <v>Filed within deadline</v>
      </c>
      <c r="AU59" s="22"/>
      <c r="AV59" s="22"/>
      <c r="AW59" s="22"/>
      <c r="AX59" s="21"/>
      <c r="AY59" s="22"/>
      <c r="AZ59" s="22"/>
      <c r="BA59" s="22"/>
      <c r="BB59" s="21"/>
      <c r="BC59" s="21"/>
      <c r="BD59" s="21"/>
      <c r="BE59" s="21"/>
      <c r="BF59" s="21"/>
      <c r="BG59" s="21"/>
      <c r="BH59" s="13" t="str">
        <f>IF(AND(AP59&lt;&gt;"",ISNUMBER(AP59)),"Patent Refused",IF(AND(AN59&lt;&gt;"",ISNUMBER(AN59)),"Patent Granted",IF(AND(AM59&lt;&gt;"",ISNUMBER(AM59)),"WS Filed",IF(AND(AND(AK59&lt;&gt;"",ISNUMBER(AK59)),NOT(AND(AM59&lt;&gt;"",ISNUMBER(AM59)))),"Hearing Attended - WS Not Filed",IF(AND(AND(AJ59&lt;&gt;"",ISNUMBER(AJ59)),NOT(AND(AK59&lt;&gt;"",ISNUMBER(AK59)))),"Hearing Issued",IF(AND(AG59&lt;&gt;"",ISNUMBER(AG59)),"FER Reply Filed",IF(AND(AND(AE59&lt;&gt;"",ISNUMBER(AE59)),NOT(AND(AG59&lt;&gt;"",ISNUMBER(AG59)))),"FER Received - Reply Not Filed",IF(AND(AB59&lt;&gt;"",ISNUMBER(AB59)),"Published",IF(AND(AND(X59&lt;&gt;"",ISNUMBER(X59)),AND(AA59&lt;&gt;"",ISNUMBER(AA59))),"F9 &amp; F18 Filed",IF(AND(NOT(AND(X59&lt;&gt;"",ISNUMBER(X59))),AND(AA59&lt;&gt;"",ISNUMBER(AA59))),"F9 Not Filed - F18 Filed",IF(AND(AND(X59&lt;&gt;"",ISNUMBER(X59)),NOT(AND(AA59&lt;&gt;"",ISNUMBER(AA59)))),"F9 Filed - F18 Not Filed",IF(AND(NOT(AND(L59&lt;&gt;"",ISNUMBER(L59))),AND(Q59&lt;&gt;"",ISNUMBER(Q59)),NOT(AND(X59&lt;&gt;"",ISNUMBER(X59))),NOT(AND(AA59&lt;&gt;"",ISNUMBER(AA59)))),"Direct CS Filed - F9 &amp; F18 Not Filed",IF(AND(AND(L59&lt;&gt;"",ISNUMBER(L59)),AND(Q59&lt;&gt;"",ISNUMBER(Q59)),NOT(AND(X59&lt;&gt;"",ISNUMBER(X59))),NOT(AND(AA59&lt;&gt;"",ISNUMBER(AA59)))),"PS-CS Filed - F9 &amp; F18 Not Filed",IF(AND(AND(L59&lt;&gt;"",ISNUMBER(L59)),NOT(AND(Q59&lt;&gt;"",ISNUMBER(Q59)))),"PS Filed - CS Not Filed","Not Started"))))))))))))))</f>
        <v>PS Filed - CS Not Filed</v>
      </c>
      <c r="BI59" s="23"/>
      <c r="BJ59" s="31"/>
      <c r="BK59" s="31"/>
    </row>
    <row r="60" spans="1:63" ht="166.5">
      <c r="A60" s="33" t="s">
        <v>396</v>
      </c>
      <c r="B60" s="14" t="s">
        <v>397</v>
      </c>
      <c r="C60" s="13" t="s">
        <v>81</v>
      </c>
      <c r="D60" s="13" t="s">
        <v>67</v>
      </c>
      <c r="E60" s="15" t="s">
        <v>500</v>
      </c>
      <c r="F60" s="13" t="s">
        <v>391</v>
      </c>
      <c r="G60" s="13" t="s">
        <v>392</v>
      </c>
      <c r="H60" s="13" t="s">
        <v>398</v>
      </c>
      <c r="I60" s="13" t="s">
        <v>394</v>
      </c>
      <c r="J60" s="13" t="s">
        <v>75</v>
      </c>
      <c r="K60" s="13">
        <v>202441096706</v>
      </c>
      <c r="L60" s="17">
        <v>45632</v>
      </c>
      <c r="M60" s="18">
        <v>45814</v>
      </c>
      <c r="N60" s="18"/>
      <c r="O60" s="18" t="str">
        <f t="shared" si="0"/>
        <v>0 months left (0 days)</v>
      </c>
      <c r="P60" s="18">
        <f t="shared" si="1"/>
        <v>46179</v>
      </c>
      <c r="Q60" s="17" t="s">
        <v>151</v>
      </c>
      <c r="R60" s="18"/>
      <c r="S60" s="17">
        <f t="shared" si="2"/>
        <v>45997</v>
      </c>
      <c r="T60" s="17"/>
      <c r="U60" s="17">
        <f t="shared" si="3"/>
        <v>45906</v>
      </c>
      <c r="V60" s="17">
        <v>45680</v>
      </c>
      <c r="W60" s="13" t="s">
        <v>108</v>
      </c>
      <c r="X60" s="17" t="s">
        <v>75</v>
      </c>
      <c r="Y60" s="17"/>
      <c r="Z60" s="18"/>
      <c r="AA60" s="17" t="s">
        <v>75</v>
      </c>
      <c r="AB60" s="17" t="s">
        <v>75</v>
      </c>
      <c r="AC60" s="18" t="e">
        <f t="shared" si="7"/>
        <v>#VALUE!</v>
      </c>
      <c r="AD60" s="19" t="str">
        <f t="shared" si="4"/>
        <v>NA</v>
      </c>
      <c r="AE60" s="17" t="s">
        <v>75</v>
      </c>
      <c r="AF60" s="18" t="str">
        <f t="shared" si="5"/>
        <v>NA</v>
      </c>
      <c r="AG60" s="19" t="s">
        <v>75</v>
      </c>
      <c r="AH60" s="17"/>
      <c r="AI60" s="18" t="str">
        <f t="shared" si="6"/>
        <v>NA</v>
      </c>
      <c r="AJ60" s="17" t="s">
        <v>75</v>
      </c>
      <c r="AK60" s="17" t="s">
        <v>75</v>
      </c>
      <c r="AL60" s="17"/>
      <c r="AM60" s="17" t="s">
        <v>75</v>
      </c>
      <c r="AN60" s="17" t="s">
        <v>75</v>
      </c>
      <c r="AO60" s="17"/>
      <c r="AP60" s="17" t="s">
        <v>75</v>
      </c>
      <c r="AQ60" s="17" t="s">
        <v>75</v>
      </c>
      <c r="AR60" s="17" t="s">
        <v>75</v>
      </c>
      <c r="AS60" s="13" t="str">
        <f ca="1">IF(OR(S60=0, S60=""), "No F1 deadline to compare", IF(T60&gt;0, IF(T60&gt;S60, "Filed after " &amp; (T60-S60) &amp; " days of deadline", "Filed within deadline"), IF(TODAY()&gt;S60, "Delayed by " &amp; (TODAY()-S60) &amp; " days", (S60-TODAY()) &amp; " days left")))</f>
        <v>Delayed by 324 days</v>
      </c>
      <c r="AT60" s="21" t="str">
        <f ca="1">IF(OR(TRIM(U60)="", U60=0), "No F26 deadline to compare", IF(AND(TRIM(V60)&lt;&gt;"", ISNUMBER(V60)), IF(V60&gt;U60, "Filed after " &amp; (V60-U60) &amp; " days of deadline", "Filed within deadline"), IF(TODAY()&gt;U60, "Delayed by " &amp; (TODAY()-U60) &amp; " days", (U60-TODAY()) &amp; " days left")))</f>
        <v>Filed within deadline</v>
      </c>
      <c r="AU60" s="22"/>
      <c r="AV60" s="22"/>
      <c r="AW60" s="22"/>
      <c r="AX60" s="21"/>
      <c r="AY60" s="22"/>
      <c r="AZ60" s="22"/>
      <c r="BA60" s="22"/>
      <c r="BB60" s="21"/>
      <c r="BC60" s="21"/>
      <c r="BD60" s="21"/>
      <c r="BE60" s="21"/>
      <c r="BF60" s="21"/>
      <c r="BG60" s="21"/>
      <c r="BH60" s="13" t="str">
        <f>IF(AND(AP60&lt;&gt;"",ISNUMBER(AP60)),"Patent Refused",IF(AND(AN60&lt;&gt;"",ISNUMBER(AN60)),"Patent Granted",IF(AND(AM60&lt;&gt;"",ISNUMBER(AM60)),"WS Filed",IF(AND(AND(AK60&lt;&gt;"",ISNUMBER(AK60)),NOT(AND(AM60&lt;&gt;"",ISNUMBER(AM60)))),"Hearing Attended - WS Not Filed",IF(AND(AND(AJ60&lt;&gt;"",ISNUMBER(AJ60)),NOT(AND(AK60&lt;&gt;"",ISNUMBER(AK60)))),"Hearing Issued",IF(AND(AG60&lt;&gt;"",ISNUMBER(AG60)),"FER Reply Filed",IF(AND(AND(AE60&lt;&gt;"",ISNUMBER(AE60)),NOT(AND(AG60&lt;&gt;"",ISNUMBER(AG60)))),"FER Received - Reply Not Filed",IF(AND(AB60&lt;&gt;"",ISNUMBER(AB60)),"Published",IF(AND(AND(X60&lt;&gt;"",ISNUMBER(X60)),AND(AA60&lt;&gt;"",ISNUMBER(AA60))),"F9 &amp; F18 Filed",IF(AND(NOT(AND(X60&lt;&gt;"",ISNUMBER(X60))),AND(AA60&lt;&gt;"",ISNUMBER(AA60))),"F9 Not Filed - F18 Filed",IF(AND(AND(X60&lt;&gt;"",ISNUMBER(X60)),NOT(AND(AA60&lt;&gt;"",ISNUMBER(AA60)))),"F9 Filed - F18 Not Filed",IF(AND(NOT(AND(L60&lt;&gt;"",ISNUMBER(L60))),AND(Q60&lt;&gt;"",ISNUMBER(Q60)),NOT(AND(X60&lt;&gt;"",ISNUMBER(X60))),NOT(AND(AA60&lt;&gt;"",ISNUMBER(AA60)))),"Direct CS Filed - F9 &amp; F18 Not Filed",IF(AND(AND(L60&lt;&gt;"",ISNUMBER(L60)),AND(Q60&lt;&gt;"",ISNUMBER(Q60)),NOT(AND(X60&lt;&gt;"",ISNUMBER(X60))),NOT(AND(AA60&lt;&gt;"",ISNUMBER(AA60)))),"PS-CS Filed - F9 &amp; F18 Not Filed",IF(AND(AND(L60&lt;&gt;"",ISNUMBER(L60)),NOT(AND(Q60&lt;&gt;"",ISNUMBER(Q60)))),"PS Filed - CS Not Filed","Not Started"))))))))))))))</f>
        <v>PS Filed - CS Not Filed</v>
      </c>
      <c r="BI60" s="23"/>
      <c r="BJ60" s="31"/>
      <c r="BK60" s="31"/>
    </row>
    <row r="61" spans="1:63" ht="138.75">
      <c r="A61" s="33" t="s">
        <v>399</v>
      </c>
      <c r="B61" s="14" t="s">
        <v>400</v>
      </c>
      <c r="C61" s="13" t="s">
        <v>81</v>
      </c>
      <c r="D61" s="13" t="s">
        <v>67</v>
      </c>
      <c r="E61" s="15" t="s">
        <v>500</v>
      </c>
      <c r="F61" s="13" t="s">
        <v>401</v>
      </c>
      <c r="G61" s="13" t="s">
        <v>392</v>
      </c>
      <c r="H61" s="13" t="s">
        <v>398</v>
      </c>
      <c r="I61" s="13" t="s">
        <v>394</v>
      </c>
      <c r="J61" s="13" t="s">
        <v>75</v>
      </c>
      <c r="K61" s="13">
        <v>202441096707</v>
      </c>
      <c r="L61" s="17">
        <v>45632</v>
      </c>
      <c r="M61" s="18">
        <v>45814</v>
      </c>
      <c r="N61" s="18"/>
      <c r="O61" s="18" t="str">
        <f t="shared" si="0"/>
        <v>0 months left (0 days)</v>
      </c>
      <c r="P61" s="18">
        <f t="shared" si="1"/>
        <v>46179</v>
      </c>
      <c r="Q61" s="17" t="s">
        <v>151</v>
      </c>
      <c r="R61" s="18"/>
      <c r="S61" s="17">
        <f t="shared" si="2"/>
        <v>45997</v>
      </c>
      <c r="T61" s="17"/>
      <c r="U61" s="17">
        <f t="shared" si="3"/>
        <v>45906</v>
      </c>
      <c r="V61" s="17">
        <v>45680</v>
      </c>
      <c r="W61" s="13" t="s">
        <v>108</v>
      </c>
      <c r="X61" s="17" t="s">
        <v>75</v>
      </c>
      <c r="Y61" s="17"/>
      <c r="Z61" s="18"/>
      <c r="AA61" s="17" t="s">
        <v>75</v>
      </c>
      <c r="AB61" s="17" t="s">
        <v>75</v>
      </c>
      <c r="AC61" s="18" t="e">
        <f t="shared" si="7"/>
        <v>#VALUE!</v>
      </c>
      <c r="AD61" s="19" t="str">
        <f t="shared" si="4"/>
        <v>NA</v>
      </c>
      <c r="AE61" s="17" t="s">
        <v>75</v>
      </c>
      <c r="AF61" s="18" t="str">
        <f t="shared" si="5"/>
        <v>NA</v>
      </c>
      <c r="AG61" s="19" t="s">
        <v>75</v>
      </c>
      <c r="AH61" s="17"/>
      <c r="AI61" s="18" t="str">
        <f t="shared" si="6"/>
        <v>NA</v>
      </c>
      <c r="AJ61" s="17" t="s">
        <v>75</v>
      </c>
      <c r="AK61" s="17" t="s">
        <v>75</v>
      </c>
      <c r="AL61" s="17"/>
      <c r="AM61" s="17" t="s">
        <v>75</v>
      </c>
      <c r="AN61" s="17" t="s">
        <v>75</v>
      </c>
      <c r="AO61" s="17"/>
      <c r="AP61" s="17" t="s">
        <v>75</v>
      </c>
      <c r="AQ61" s="17" t="s">
        <v>75</v>
      </c>
      <c r="AR61" s="17" t="s">
        <v>75</v>
      </c>
      <c r="AS61" s="13" t="str">
        <f ca="1">IF(OR(S61=0, S61=""), "No F1 deadline to compare", IF(T61&gt;0, IF(T61&gt;S61, "Filed after " &amp; (T61-S61) &amp; " days of deadline", "Filed within deadline"), IF(TODAY()&gt;S61, "Delayed by " &amp; (TODAY()-S61) &amp; " days", (S61-TODAY()) &amp; " days left")))</f>
        <v>Delayed by 324 days</v>
      </c>
      <c r="AT61" s="21" t="str">
        <f ca="1">IF(OR(TRIM(U61)="", U61=0), "No F26 deadline to compare", IF(AND(TRIM(V61)&lt;&gt;"", ISNUMBER(V61)), IF(V61&gt;U61, "Filed after " &amp; (V61-U61) &amp; " days of deadline", "Filed within deadline"), IF(TODAY()&gt;U61, "Delayed by " &amp; (TODAY()-U61) &amp; " days", (U61-TODAY()) &amp; " days left")))</f>
        <v>Filed within deadline</v>
      </c>
      <c r="AU61" s="22"/>
      <c r="AV61" s="22"/>
      <c r="AW61" s="22"/>
      <c r="AX61" s="21"/>
      <c r="AY61" s="22"/>
      <c r="AZ61" s="22"/>
      <c r="BA61" s="22"/>
      <c r="BB61" s="21"/>
      <c r="BC61" s="21"/>
      <c r="BD61" s="21"/>
      <c r="BE61" s="21"/>
      <c r="BF61" s="21"/>
      <c r="BG61" s="21"/>
      <c r="BH61" s="13" t="str">
        <f>IF(AND(AP61&lt;&gt;"",ISNUMBER(AP61)),"Patent Refused",IF(AND(AN61&lt;&gt;"",ISNUMBER(AN61)),"Patent Granted",IF(AND(AM61&lt;&gt;"",ISNUMBER(AM61)),"WS Filed",IF(AND(AND(AK61&lt;&gt;"",ISNUMBER(AK61)),NOT(AND(AM61&lt;&gt;"",ISNUMBER(AM61)))),"Hearing Attended - WS Not Filed",IF(AND(AND(AJ61&lt;&gt;"",ISNUMBER(AJ61)),NOT(AND(AK61&lt;&gt;"",ISNUMBER(AK61)))),"Hearing Issued",IF(AND(AG61&lt;&gt;"",ISNUMBER(AG61)),"FER Reply Filed",IF(AND(AND(AE61&lt;&gt;"",ISNUMBER(AE61)),NOT(AND(AG61&lt;&gt;"",ISNUMBER(AG61)))),"FER Received - Reply Not Filed",IF(AND(AB61&lt;&gt;"",ISNUMBER(AB61)),"Published",IF(AND(AND(X61&lt;&gt;"",ISNUMBER(X61)),AND(AA61&lt;&gt;"",ISNUMBER(AA61))),"F9 &amp; F18 Filed",IF(AND(NOT(AND(X61&lt;&gt;"",ISNUMBER(X61))),AND(AA61&lt;&gt;"",ISNUMBER(AA61))),"F9 Not Filed - F18 Filed",IF(AND(AND(X61&lt;&gt;"",ISNUMBER(X61)),NOT(AND(AA61&lt;&gt;"",ISNUMBER(AA61)))),"F9 Filed - F18 Not Filed",IF(AND(NOT(AND(L61&lt;&gt;"",ISNUMBER(L61))),AND(Q61&lt;&gt;"",ISNUMBER(Q61)),NOT(AND(X61&lt;&gt;"",ISNUMBER(X61))),NOT(AND(AA61&lt;&gt;"",ISNUMBER(AA61)))),"Direct CS Filed - F9 &amp; F18 Not Filed",IF(AND(AND(L61&lt;&gt;"",ISNUMBER(L61)),AND(Q61&lt;&gt;"",ISNUMBER(Q61)),NOT(AND(X61&lt;&gt;"",ISNUMBER(X61))),NOT(AND(AA61&lt;&gt;"",ISNUMBER(AA61)))),"PS-CS Filed - F9 &amp; F18 Not Filed",IF(AND(AND(L61&lt;&gt;"",ISNUMBER(L61)),NOT(AND(Q61&lt;&gt;"",ISNUMBER(Q61)))),"PS Filed - CS Not Filed","Not Started"))))))))))))))</f>
        <v>PS Filed - CS Not Filed</v>
      </c>
      <c r="BI61" s="23"/>
      <c r="BJ61" s="31"/>
      <c r="BK61" s="31"/>
    </row>
    <row r="62" spans="1:63" ht="138.75">
      <c r="A62" s="33" t="s">
        <v>403</v>
      </c>
      <c r="B62" s="14" t="s">
        <v>404</v>
      </c>
      <c r="C62" s="13" t="s">
        <v>81</v>
      </c>
      <c r="D62" s="13" t="s">
        <v>67</v>
      </c>
      <c r="E62" s="15" t="s">
        <v>500</v>
      </c>
      <c r="F62" s="13" t="s">
        <v>405</v>
      </c>
      <c r="G62" s="13" t="s">
        <v>392</v>
      </c>
      <c r="H62" s="13" t="s">
        <v>398</v>
      </c>
      <c r="I62" s="13" t="s">
        <v>394</v>
      </c>
      <c r="J62" s="13" t="s">
        <v>75</v>
      </c>
      <c r="K62" s="13">
        <v>202441096708</v>
      </c>
      <c r="L62" s="17">
        <v>45632</v>
      </c>
      <c r="M62" s="18">
        <v>45814</v>
      </c>
      <c r="N62" s="18"/>
      <c r="O62" s="18" t="str">
        <f t="shared" si="0"/>
        <v>0 months left (0 days)</v>
      </c>
      <c r="P62" s="18">
        <f t="shared" si="1"/>
        <v>46179</v>
      </c>
      <c r="Q62" s="17" t="s">
        <v>151</v>
      </c>
      <c r="R62" s="18"/>
      <c r="S62" s="17">
        <f t="shared" si="2"/>
        <v>45997</v>
      </c>
      <c r="T62" s="17"/>
      <c r="U62" s="17">
        <f t="shared" si="3"/>
        <v>45906</v>
      </c>
      <c r="V62" s="17">
        <v>45680</v>
      </c>
      <c r="W62" s="13" t="s">
        <v>108</v>
      </c>
      <c r="X62" s="17" t="s">
        <v>75</v>
      </c>
      <c r="Y62" s="17"/>
      <c r="Z62" s="18"/>
      <c r="AA62" s="17" t="s">
        <v>75</v>
      </c>
      <c r="AB62" s="17" t="s">
        <v>75</v>
      </c>
      <c r="AC62" s="18" t="e">
        <f t="shared" si="7"/>
        <v>#VALUE!</v>
      </c>
      <c r="AD62" s="19" t="str">
        <f t="shared" si="4"/>
        <v>NA</v>
      </c>
      <c r="AE62" s="17" t="s">
        <v>75</v>
      </c>
      <c r="AF62" s="18" t="str">
        <f t="shared" si="5"/>
        <v>NA</v>
      </c>
      <c r="AG62" s="19" t="s">
        <v>75</v>
      </c>
      <c r="AH62" s="17"/>
      <c r="AI62" s="18" t="str">
        <f t="shared" si="6"/>
        <v>NA</v>
      </c>
      <c r="AJ62" s="17" t="s">
        <v>75</v>
      </c>
      <c r="AK62" s="17" t="s">
        <v>75</v>
      </c>
      <c r="AL62" s="17"/>
      <c r="AM62" s="17" t="s">
        <v>75</v>
      </c>
      <c r="AN62" s="17" t="s">
        <v>75</v>
      </c>
      <c r="AO62" s="17"/>
      <c r="AP62" s="17" t="s">
        <v>75</v>
      </c>
      <c r="AQ62" s="17" t="s">
        <v>75</v>
      </c>
      <c r="AR62" s="17" t="s">
        <v>75</v>
      </c>
      <c r="AS62" s="13" t="str">
        <f ca="1">IF(OR(S62=0, S62=""), "No F1 deadline to compare", IF(T62&gt;0, IF(T62&gt;S62, "Filed after " &amp; (T62-S62) &amp; " days of deadline", "Filed within deadline"), IF(TODAY()&gt;S62, "Delayed by " &amp; (TODAY()-S62) &amp; " days", (S62-TODAY()) &amp; " days left")))</f>
        <v>Delayed by 324 days</v>
      </c>
      <c r="AT62" s="21" t="str">
        <f ca="1">IF(OR(TRIM(U62)="", U62=0), "No F26 deadline to compare", IF(AND(TRIM(V62)&lt;&gt;"", ISNUMBER(V62)), IF(V62&gt;U62, "Filed after " &amp; (V62-U62) &amp; " days of deadline", "Filed within deadline"), IF(TODAY()&gt;U62, "Delayed by " &amp; (TODAY()-U62) &amp; " days", (U62-TODAY()) &amp; " days left")))</f>
        <v>Filed within deadline</v>
      </c>
      <c r="AU62" s="22"/>
      <c r="AV62" s="22"/>
      <c r="AW62" s="22"/>
      <c r="AX62" s="21"/>
      <c r="AY62" s="22"/>
      <c r="AZ62" s="22"/>
      <c r="BA62" s="22"/>
      <c r="BB62" s="21"/>
      <c r="BC62" s="21"/>
      <c r="BD62" s="21"/>
      <c r="BE62" s="21"/>
      <c r="BF62" s="21"/>
      <c r="BG62" s="21"/>
      <c r="BH62" s="13" t="str">
        <f>IF(AND(AP62&lt;&gt;"",ISNUMBER(AP62)),"Patent Refused",IF(AND(AN62&lt;&gt;"",ISNUMBER(AN62)),"Patent Granted",IF(AND(AM62&lt;&gt;"",ISNUMBER(AM62)),"WS Filed",IF(AND(AND(AK62&lt;&gt;"",ISNUMBER(AK62)),NOT(AND(AM62&lt;&gt;"",ISNUMBER(AM62)))),"Hearing Attended - WS Not Filed",IF(AND(AND(AJ62&lt;&gt;"",ISNUMBER(AJ62)),NOT(AND(AK62&lt;&gt;"",ISNUMBER(AK62)))),"Hearing Issued",IF(AND(AG62&lt;&gt;"",ISNUMBER(AG62)),"FER Reply Filed",IF(AND(AND(AE62&lt;&gt;"",ISNUMBER(AE62)),NOT(AND(AG62&lt;&gt;"",ISNUMBER(AG62)))),"FER Received - Reply Not Filed",IF(AND(AB62&lt;&gt;"",ISNUMBER(AB62)),"Published",IF(AND(AND(X62&lt;&gt;"",ISNUMBER(X62)),AND(AA62&lt;&gt;"",ISNUMBER(AA62))),"F9 &amp; F18 Filed",IF(AND(NOT(AND(X62&lt;&gt;"",ISNUMBER(X62))),AND(AA62&lt;&gt;"",ISNUMBER(AA62))),"F9 Not Filed - F18 Filed",IF(AND(AND(X62&lt;&gt;"",ISNUMBER(X62)),NOT(AND(AA62&lt;&gt;"",ISNUMBER(AA62)))),"F9 Filed - F18 Not Filed",IF(AND(NOT(AND(L62&lt;&gt;"",ISNUMBER(L62))),AND(Q62&lt;&gt;"",ISNUMBER(Q62)),NOT(AND(X62&lt;&gt;"",ISNUMBER(X62))),NOT(AND(AA62&lt;&gt;"",ISNUMBER(AA62)))),"Direct CS Filed - F9 &amp; F18 Not Filed",IF(AND(AND(L62&lt;&gt;"",ISNUMBER(L62)),AND(Q62&lt;&gt;"",ISNUMBER(Q62)),NOT(AND(X62&lt;&gt;"",ISNUMBER(X62))),NOT(AND(AA62&lt;&gt;"",ISNUMBER(AA62)))),"PS-CS Filed - F9 &amp; F18 Not Filed",IF(AND(AND(L62&lt;&gt;"",ISNUMBER(L62)),NOT(AND(Q62&lt;&gt;"",ISNUMBER(Q62)))),"PS Filed - CS Not Filed","Not Started"))))))))))))))</f>
        <v>PS Filed - CS Not Filed</v>
      </c>
      <c r="BI62" s="23"/>
      <c r="BJ62" s="31"/>
      <c r="BK62" s="31"/>
    </row>
    <row r="63" spans="1:63" ht="138.75">
      <c r="A63" s="33" t="s">
        <v>406</v>
      </c>
      <c r="B63" s="14" t="s">
        <v>407</v>
      </c>
      <c r="C63" s="13" t="s">
        <v>81</v>
      </c>
      <c r="D63" s="13" t="s">
        <v>67</v>
      </c>
      <c r="E63" s="15" t="s">
        <v>500</v>
      </c>
      <c r="F63" s="13" t="s">
        <v>401</v>
      </c>
      <c r="G63" s="13" t="s">
        <v>392</v>
      </c>
      <c r="H63" s="13" t="s">
        <v>398</v>
      </c>
      <c r="I63" s="13" t="s">
        <v>394</v>
      </c>
      <c r="J63" s="13" t="s">
        <v>75</v>
      </c>
      <c r="K63" s="13">
        <v>202441096710</v>
      </c>
      <c r="L63" s="17">
        <v>45632</v>
      </c>
      <c r="M63" s="18">
        <v>45814</v>
      </c>
      <c r="N63" s="18"/>
      <c r="O63" s="18" t="str">
        <f t="shared" si="0"/>
        <v>0 months left (0 days)</v>
      </c>
      <c r="P63" s="18">
        <f t="shared" si="1"/>
        <v>46179</v>
      </c>
      <c r="Q63" s="17" t="s">
        <v>151</v>
      </c>
      <c r="R63" s="18"/>
      <c r="S63" s="17">
        <f t="shared" si="2"/>
        <v>45997</v>
      </c>
      <c r="T63" s="17"/>
      <c r="U63" s="17">
        <f t="shared" si="3"/>
        <v>45906</v>
      </c>
      <c r="V63" s="17">
        <v>45680</v>
      </c>
      <c r="W63" s="13" t="s">
        <v>108</v>
      </c>
      <c r="X63" s="17" t="s">
        <v>75</v>
      </c>
      <c r="Y63" s="17"/>
      <c r="Z63" s="18"/>
      <c r="AA63" s="17" t="s">
        <v>75</v>
      </c>
      <c r="AB63" s="17" t="s">
        <v>75</v>
      </c>
      <c r="AC63" s="18" t="e">
        <f t="shared" si="7"/>
        <v>#VALUE!</v>
      </c>
      <c r="AD63" s="19" t="str">
        <f t="shared" si="4"/>
        <v>NA</v>
      </c>
      <c r="AE63" s="17" t="s">
        <v>75</v>
      </c>
      <c r="AF63" s="18" t="str">
        <f t="shared" si="5"/>
        <v>NA</v>
      </c>
      <c r="AG63" s="19" t="s">
        <v>75</v>
      </c>
      <c r="AH63" s="17"/>
      <c r="AI63" s="18" t="str">
        <f t="shared" si="6"/>
        <v>NA</v>
      </c>
      <c r="AJ63" s="17" t="s">
        <v>75</v>
      </c>
      <c r="AK63" s="17" t="s">
        <v>75</v>
      </c>
      <c r="AL63" s="17"/>
      <c r="AM63" s="17" t="s">
        <v>75</v>
      </c>
      <c r="AN63" s="17" t="s">
        <v>75</v>
      </c>
      <c r="AO63" s="17"/>
      <c r="AP63" s="17" t="s">
        <v>75</v>
      </c>
      <c r="AQ63" s="17" t="s">
        <v>75</v>
      </c>
      <c r="AR63" s="17" t="s">
        <v>75</v>
      </c>
      <c r="AS63" s="13" t="str">
        <f ca="1">IF(OR(S63=0, S63=""), "No F1 deadline to compare", IF(T63&gt;0, IF(T63&gt;S63, "Filed after " &amp; (T63-S63) &amp; " days of deadline", "Filed within deadline"), IF(TODAY()&gt;S63, "Delayed by " &amp; (TODAY()-S63) &amp; " days", (S63-TODAY()) &amp; " days left")))</f>
        <v>Delayed by 324 days</v>
      </c>
      <c r="AT63" s="21" t="str">
        <f ca="1">IF(OR(TRIM(U63)="", U63=0), "No F26 deadline to compare", IF(AND(TRIM(V63)&lt;&gt;"", ISNUMBER(V63)), IF(V63&gt;U63, "Filed after " &amp; (V63-U63) &amp; " days of deadline", "Filed within deadline"), IF(TODAY()&gt;U63, "Delayed by " &amp; (TODAY()-U63) &amp; " days", (U63-TODAY()) &amp; " days left")))</f>
        <v>Filed within deadline</v>
      </c>
      <c r="AU63" s="22"/>
      <c r="AV63" s="22"/>
      <c r="AW63" s="22"/>
      <c r="AX63" s="21"/>
      <c r="AY63" s="22"/>
      <c r="AZ63" s="22"/>
      <c r="BA63" s="22"/>
      <c r="BB63" s="21"/>
      <c r="BC63" s="21"/>
      <c r="BD63" s="21"/>
      <c r="BE63" s="21"/>
      <c r="BF63" s="21"/>
      <c r="BG63" s="21"/>
      <c r="BH63" s="13" t="str">
        <f>IF(AND(AP63&lt;&gt;"",ISNUMBER(AP63)),"Patent Refused",IF(AND(AN63&lt;&gt;"",ISNUMBER(AN63)),"Patent Granted",IF(AND(AM63&lt;&gt;"",ISNUMBER(AM63)),"WS Filed",IF(AND(AND(AK63&lt;&gt;"",ISNUMBER(AK63)),NOT(AND(AM63&lt;&gt;"",ISNUMBER(AM63)))),"Hearing Attended - WS Not Filed",IF(AND(AND(AJ63&lt;&gt;"",ISNUMBER(AJ63)),NOT(AND(AK63&lt;&gt;"",ISNUMBER(AK63)))),"Hearing Issued",IF(AND(AG63&lt;&gt;"",ISNUMBER(AG63)),"FER Reply Filed",IF(AND(AND(AE63&lt;&gt;"",ISNUMBER(AE63)),NOT(AND(AG63&lt;&gt;"",ISNUMBER(AG63)))),"FER Received - Reply Not Filed",IF(AND(AB63&lt;&gt;"",ISNUMBER(AB63)),"Published",IF(AND(AND(X63&lt;&gt;"",ISNUMBER(X63)),AND(AA63&lt;&gt;"",ISNUMBER(AA63))),"F9 &amp; F18 Filed",IF(AND(NOT(AND(X63&lt;&gt;"",ISNUMBER(X63))),AND(AA63&lt;&gt;"",ISNUMBER(AA63))),"F9 Not Filed - F18 Filed",IF(AND(AND(X63&lt;&gt;"",ISNUMBER(X63)),NOT(AND(AA63&lt;&gt;"",ISNUMBER(AA63)))),"F9 Filed - F18 Not Filed",IF(AND(NOT(AND(L63&lt;&gt;"",ISNUMBER(L63))),AND(Q63&lt;&gt;"",ISNUMBER(Q63)),NOT(AND(X63&lt;&gt;"",ISNUMBER(X63))),NOT(AND(AA63&lt;&gt;"",ISNUMBER(AA63)))),"Direct CS Filed - F9 &amp; F18 Not Filed",IF(AND(AND(L63&lt;&gt;"",ISNUMBER(L63)),AND(Q63&lt;&gt;"",ISNUMBER(Q63)),NOT(AND(X63&lt;&gt;"",ISNUMBER(X63))),NOT(AND(AA63&lt;&gt;"",ISNUMBER(AA63)))),"PS-CS Filed - F9 &amp; F18 Not Filed",IF(AND(AND(L63&lt;&gt;"",ISNUMBER(L63)),NOT(AND(Q63&lt;&gt;"",ISNUMBER(Q63)))),"PS Filed - CS Not Filed","Not Started"))))))))))))))</f>
        <v>PS Filed - CS Not Filed</v>
      </c>
      <c r="BI63" s="23"/>
      <c r="BJ63" s="31"/>
      <c r="BK63" s="31"/>
    </row>
    <row r="64" spans="1:63" ht="166.5">
      <c r="A64" s="13" t="s">
        <v>409</v>
      </c>
      <c r="B64" s="14" t="s">
        <v>410</v>
      </c>
      <c r="C64" s="13" t="s">
        <v>81</v>
      </c>
      <c r="D64" s="13" t="s">
        <v>67</v>
      </c>
      <c r="E64" s="15" t="s">
        <v>501</v>
      </c>
      <c r="F64" s="13" t="s">
        <v>411</v>
      </c>
      <c r="G64" s="13" t="s">
        <v>412</v>
      </c>
      <c r="H64" s="13" t="s">
        <v>413</v>
      </c>
      <c r="I64" s="13" t="s">
        <v>414</v>
      </c>
      <c r="J64" s="13" t="s">
        <v>75</v>
      </c>
      <c r="K64" s="13">
        <v>202441101989</v>
      </c>
      <c r="L64" s="17">
        <v>45649</v>
      </c>
      <c r="M64" s="18">
        <v>45831</v>
      </c>
      <c r="N64" s="13" t="s">
        <v>84</v>
      </c>
      <c r="O64" s="18" t="str">
        <f t="shared" si="0"/>
        <v>0 months left (0 days)</v>
      </c>
      <c r="P64" s="18">
        <f t="shared" si="1"/>
        <v>46196</v>
      </c>
      <c r="Q64" s="17">
        <v>46118</v>
      </c>
      <c r="R64" s="18"/>
      <c r="S64" s="17">
        <f t="shared" si="2"/>
        <v>46014</v>
      </c>
      <c r="T64" s="17">
        <v>45653</v>
      </c>
      <c r="U64" s="17">
        <f t="shared" si="3"/>
        <v>45923</v>
      </c>
      <c r="V64" s="17">
        <v>45680</v>
      </c>
      <c r="W64" s="13" t="s">
        <v>108</v>
      </c>
      <c r="X64" s="17">
        <v>46217</v>
      </c>
      <c r="Y64" s="17"/>
      <c r="Z64" s="18"/>
      <c r="AA64" s="17">
        <v>46253</v>
      </c>
      <c r="AB64" s="17">
        <v>46220</v>
      </c>
      <c r="AC64" s="18" t="e">
        <f t="shared" si="7"/>
        <v>#VALUE!</v>
      </c>
      <c r="AD64" s="19" t="str">
        <f t="shared" si="4"/>
        <v>29/2026</v>
      </c>
      <c r="AE64" s="17" t="s">
        <v>75</v>
      </c>
      <c r="AF64" s="18" t="str">
        <f t="shared" si="5"/>
        <v>NA</v>
      </c>
      <c r="AG64" s="19" t="s">
        <v>75</v>
      </c>
      <c r="AH64" s="17"/>
      <c r="AI64" s="18" t="str">
        <f t="shared" si="6"/>
        <v>NA</v>
      </c>
      <c r="AJ64" s="17" t="s">
        <v>75</v>
      </c>
      <c r="AK64" s="17" t="s">
        <v>75</v>
      </c>
      <c r="AL64" s="17"/>
      <c r="AM64" s="17" t="s">
        <v>75</v>
      </c>
      <c r="AN64" s="17" t="s">
        <v>75</v>
      </c>
      <c r="AO64" s="17"/>
      <c r="AP64" s="17" t="s">
        <v>75</v>
      </c>
      <c r="AQ64" s="17" t="s">
        <v>75</v>
      </c>
      <c r="AR64" s="17" t="s">
        <v>75</v>
      </c>
      <c r="AS64" s="13" t="str">
        <f ca="1">IF(OR(S64=0, S64=""), "No F1 deadline to compare", IF(T64&gt;0, IF(T64&gt;S64, "Filed after " &amp; (T64-S64) &amp; " days of deadline", "Filed within deadline"), IF(TODAY()&gt;S64, "Delayed by " &amp; (TODAY()-S64) &amp; " days", (S64-TODAY()) &amp; " days left")))</f>
        <v>Filed within deadline</v>
      </c>
      <c r="AT64" s="21" t="str">
        <f ca="1">IF(OR(TRIM(U64)="", U64=0), "No F26 deadline to compare", IF(AND(TRIM(V64)&lt;&gt;"", ISNUMBER(V64)), IF(V64&gt;U64, "Filed after " &amp; (V64-U64) &amp; " days of deadline", "Filed within deadline"), IF(TODAY()&gt;U64, "Delayed by " &amp; (TODAY()-U64) &amp; " days", (U64-TODAY()) &amp; " days left")))</f>
        <v>Filed within deadline</v>
      </c>
      <c r="AU64" s="22"/>
      <c r="AV64" s="22"/>
      <c r="AW64" s="22"/>
      <c r="AX64" s="21"/>
      <c r="AY64" s="22"/>
      <c r="AZ64" s="22"/>
      <c r="BA64" s="22"/>
      <c r="BB64" s="21"/>
      <c r="BC64" s="21"/>
      <c r="BD64" s="21"/>
      <c r="BE64" s="21"/>
      <c r="BF64" s="21"/>
      <c r="BG64" s="21"/>
      <c r="BH64" s="13" t="str">
        <f>IF(AND(AP64&lt;&gt;"",ISNUMBER(AP64)),"Patent Refused",IF(AND(AN64&lt;&gt;"",ISNUMBER(AN64)),"Patent Granted",IF(AND(AM64&lt;&gt;"",ISNUMBER(AM64)),"WS Filed",IF(AND(AND(AK64&lt;&gt;"",ISNUMBER(AK64)),NOT(AND(AM64&lt;&gt;"",ISNUMBER(AM64)))),"Hearing Attended - WS Not Filed",IF(AND(AND(AJ64&lt;&gt;"",ISNUMBER(AJ64)),NOT(AND(AK64&lt;&gt;"",ISNUMBER(AK64)))),"Hearing Issued",IF(AND(AG64&lt;&gt;"",ISNUMBER(AG64)),"FER Reply Filed",IF(AND(AND(AE64&lt;&gt;"",ISNUMBER(AE64)),NOT(AND(AG64&lt;&gt;"",ISNUMBER(AG64)))),"FER Received - Reply Not Filed",IF(AND(AB64&lt;&gt;"",ISNUMBER(AB64)),"Published",IF(AND(AND(X64&lt;&gt;"",ISNUMBER(X64)),AND(AA64&lt;&gt;"",ISNUMBER(AA64))),"F9 &amp; F18 Filed",IF(AND(NOT(AND(X64&lt;&gt;"",ISNUMBER(X64))),AND(AA64&lt;&gt;"",ISNUMBER(AA64))),"F9 Not Filed - F18 Filed",IF(AND(AND(X64&lt;&gt;"",ISNUMBER(X64)),NOT(AND(AA64&lt;&gt;"",ISNUMBER(AA64)))),"F9 Filed - F18 Not Filed",IF(AND(NOT(AND(L64&lt;&gt;"",ISNUMBER(L64))),AND(Q64&lt;&gt;"",ISNUMBER(Q64)),NOT(AND(X64&lt;&gt;"",ISNUMBER(X64))),NOT(AND(AA64&lt;&gt;"",ISNUMBER(AA64)))),"Direct CS Filed - F9 &amp; F18 Not Filed",IF(AND(AND(L64&lt;&gt;"",ISNUMBER(L64)),AND(Q64&lt;&gt;"",ISNUMBER(Q64)),NOT(AND(X64&lt;&gt;"",ISNUMBER(X64))),NOT(AND(AA64&lt;&gt;"",ISNUMBER(AA64)))),"PS-CS Filed - F9 &amp; F18 Not Filed",IF(AND(AND(L64&lt;&gt;"",ISNUMBER(L64)),NOT(AND(Q64&lt;&gt;"",ISNUMBER(Q64)))),"PS Filed - CS Not Filed","Not Started"))))))))))))))</f>
        <v>Published</v>
      </c>
      <c r="BI64" s="23"/>
      <c r="BJ64" s="31"/>
      <c r="BK64" s="31"/>
    </row>
    <row r="65" spans="1:63" ht="180.4">
      <c r="A65" s="13" t="s">
        <v>415</v>
      </c>
      <c r="B65" s="14" t="s">
        <v>416</v>
      </c>
      <c r="C65" s="13" t="s">
        <v>81</v>
      </c>
      <c r="D65" s="13" t="s">
        <v>67</v>
      </c>
      <c r="E65" s="15" t="s">
        <v>488</v>
      </c>
      <c r="F65" s="13" t="s">
        <v>417</v>
      </c>
      <c r="G65" s="13" t="s">
        <v>418</v>
      </c>
      <c r="H65" s="13" t="s">
        <v>419</v>
      </c>
      <c r="I65" s="13" t="s">
        <v>313</v>
      </c>
      <c r="J65" s="13" t="s">
        <v>75</v>
      </c>
      <c r="K65" s="13">
        <v>202441096977</v>
      </c>
      <c r="L65" s="17">
        <v>45635</v>
      </c>
      <c r="M65" s="18">
        <v>45666</v>
      </c>
      <c r="N65" s="13" t="s">
        <v>84</v>
      </c>
      <c r="O65" s="18" t="str">
        <f t="shared" si="0"/>
        <v>5 months left (151 days)</v>
      </c>
      <c r="P65" s="18">
        <f t="shared" si="1"/>
        <v>46031</v>
      </c>
      <c r="Q65" s="17">
        <v>46031</v>
      </c>
      <c r="R65" s="18"/>
      <c r="S65" s="17">
        <f t="shared" si="2"/>
        <v>45847</v>
      </c>
      <c r="T65" s="17">
        <v>45638</v>
      </c>
      <c r="U65" s="17">
        <f t="shared" si="3"/>
        <v>45756</v>
      </c>
      <c r="V65" s="17">
        <v>45680</v>
      </c>
      <c r="W65" s="13" t="s">
        <v>108</v>
      </c>
      <c r="X65" s="17">
        <v>46128</v>
      </c>
      <c r="Y65" s="17"/>
      <c r="Z65" s="18"/>
      <c r="AA65" s="17">
        <v>46198</v>
      </c>
      <c r="AB65" s="17">
        <v>46136</v>
      </c>
      <c r="AC65" s="18" t="e">
        <f t="shared" si="7"/>
        <v>#VALUE!</v>
      </c>
      <c r="AD65" s="19" t="str">
        <f t="shared" si="4"/>
        <v>17/2026</v>
      </c>
      <c r="AE65" s="17" t="s">
        <v>75</v>
      </c>
      <c r="AF65" s="18" t="str">
        <f t="shared" si="5"/>
        <v>NA</v>
      </c>
      <c r="AG65" s="19" t="s">
        <v>75</v>
      </c>
      <c r="AH65" s="17"/>
      <c r="AI65" s="18" t="str">
        <f t="shared" si="6"/>
        <v>NA</v>
      </c>
      <c r="AJ65" s="17" t="s">
        <v>75</v>
      </c>
      <c r="AK65" s="17" t="s">
        <v>75</v>
      </c>
      <c r="AL65" s="17"/>
      <c r="AM65" s="17" t="s">
        <v>75</v>
      </c>
      <c r="AN65" s="17" t="s">
        <v>75</v>
      </c>
      <c r="AO65" s="17"/>
      <c r="AP65" s="17" t="s">
        <v>75</v>
      </c>
      <c r="AQ65" s="17" t="s">
        <v>75</v>
      </c>
      <c r="AR65" s="17" t="s">
        <v>75</v>
      </c>
      <c r="AS65" s="13" t="str">
        <f ca="1">IF(OR(S65=0, S65=""), "No F1 deadline to compare", IF(T65&gt;0, IF(T65&gt;S65, "Filed after " &amp; (T65-S65) &amp; " days of deadline", "Filed within deadline"), IF(TODAY()&gt;S65, "Delayed by " &amp; (TODAY()-S65) &amp; " days", (S65-TODAY()) &amp; " days left")))</f>
        <v>Filed within deadline</v>
      </c>
      <c r="AT65" s="21" t="str">
        <f ca="1">IF(OR(TRIM(U65)="", U65=0), "No F26 deadline to compare", IF(AND(TRIM(V65)&lt;&gt;"", ISNUMBER(V65)), IF(V65&gt;U65, "Filed after " &amp; (V65-U65) &amp; " days of deadline", "Filed within deadline"), IF(TODAY()&gt;U65, "Delayed by " &amp; (TODAY()-U65) &amp; " days", (U65-TODAY()) &amp; " days left")))</f>
        <v>Filed within deadline</v>
      </c>
      <c r="AU65" s="22"/>
      <c r="AV65" s="22"/>
      <c r="AW65" s="22"/>
      <c r="AX65" s="21"/>
      <c r="AY65" s="22"/>
      <c r="AZ65" s="22"/>
      <c r="BA65" s="22"/>
      <c r="BB65" s="21"/>
      <c r="BC65" s="21"/>
      <c r="BD65" s="21"/>
      <c r="BE65" s="21"/>
      <c r="BF65" s="21"/>
      <c r="BG65" s="21"/>
      <c r="BH65" s="13" t="str">
        <f>IF(AND(AP65&lt;&gt;"",ISNUMBER(AP65)),"Patent Refused",IF(AND(AN65&lt;&gt;"",ISNUMBER(AN65)),"Patent Granted",IF(AND(AM65&lt;&gt;"",ISNUMBER(AM65)),"WS Filed",IF(AND(AND(AK65&lt;&gt;"",ISNUMBER(AK65)),NOT(AND(AM65&lt;&gt;"",ISNUMBER(AM65)))),"Hearing Attended - WS Not Filed",IF(AND(AND(AJ65&lt;&gt;"",ISNUMBER(AJ65)),NOT(AND(AK65&lt;&gt;"",ISNUMBER(AK65)))),"Hearing Issued",IF(AND(AG65&lt;&gt;"",ISNUMBER(AG65)),"FER Reply Filed",IF(AND(AND(AE65&lt;&gt;"",ISNUMBER(AE65)),NOT(AND(AG65&lt;&gt;"",ISNUMBER(AG65)))),"FER Received - Reply Not Filed",IF(AND(AB65&lt;&gt;"",ISNUMBER(AB65)),"Published",IF(AND(AND(X65&lt;&gt;"",ISNUMBER(X65)),AND(AA65&lt;&gt;"",ISNUMBER(AA65))),"F9 &amp; F18 Filed",IF(AND(NOT(AND(X65&lt;&gt;"",ISNUMBER(X65))),AND(AA65&lt;&gt;"",ISNUMBER(AA65))),"F9 Not Filed - F18 Filed",IF(AND(AND(X65&lt;&gt;"",ISNUMBER(X65)),NOT(AND(AA65&lt;&gt;"",ISNUMBER(AA65)))),"F9 Filed - F18 Not Filed",IF(AND(NOT(AND(L65&lt;&gt;"",ISNUMBER(L65))),AND(Q65&lt;&gt;"",ISNUMBER(Q65)),NOT(AND(X65&lt;&gt;"",ISNUMBER(X65))),NOT(AND(AA65&lt;&gt;"",ISNUMBER(AA65)))),"Direct CS Filed - F9 &amp; F18 Not Filed",IF(AND(AND(L65&lt;&gt;"",ISNUMBER(L65)),AND(Q65&lt;&gt;"",ISNUMBER(Q65)),NOT(AND(X65&lt;&gt;"",ISNUMBER(X65))),NOT(AND(AA65&lt;&gt;"",ISNUMBER(AA65)))),"PS-CS Filed - F9 &amp; F18 Not Filed",IF(AND(AND(L65&lt;&gt;"",ISNUMBER(L65)),NOT(AND(Q65&lt;&gt;"",ISNUMBER(Q65)))),"PS Filed - CS Not Filed","Not Started"))))))))))))))</f>
        <v>Published</v>
      </c>
      <c r="BI65" s="23"/>
      <c r="BJ65" s="31"/>
      <c r="BK65" s="31"/>
    </row>
    <row r="66" spans="1:63" ht="180.4">
      <c r="A66" s="13" t="s">
        <v>424</v>
      </c>
      <c r="B66" s="14" t="s">
        <v>425</v>
      </c>
      <c r="C66" s="13" t="s">
        <v>81</v>
      </c>
      <c r="D66" s="13" t="s">
        <v>67</v>
      </c>
      <c r="E66" s="15" t="s">
        <v>502</v>
      </c>
      <c r="F66" s="13" t="s">
        <v>426</v>
      </c>
      <c r="G66" s="13" t="s">
        <v>418</v>
      </c>
      <c r="H66" s="13" t="s">
        <v>419</v>
      </c>
      <c r="I66" s="13" t="s">
        <v>313</v>
      </c>
      <c r="J66" s="13" t="s">
        <v>75</v>
      </c>
      <c r="K66" s="13">
        <v>202441096978</v>
      </c>
      <c r="L66" s="17">
        <v>45635</v>
      </c>
      <c r="M66" s="18">
        <v>45666</v>
      </c>
      <c r="N66" s="13" t="s">
        <v>84</v>
      </c>
      <c r="O66" s="18" t="str">
        <f t="shared" si="0"/>
        <v>5 months left (151 days)</v>
      </c>
      <c r="P66" s="18">
        <f t="shared" si="1"/>
        <v>46031</v>
      </c>
      <c r="Q66" s="17">
        <v>46031</v>
      </c>
      <c r="R66" s="18"/>
      <c r="S66" s="17">
        <f t="shared" si="2"/>
        <v>45847</v>
      </c>
      <c r="T66" s="17">
        <v>45638</v>
      </c>
      <c r="U66" s="17">
        <f t="shared" si="3"/>
        <v>45756</v>
      </c>
      <c r="V66" s="17">
        <v>45680</v>
      </c>
      <c r="W66" s="13" t="s">
        <v>108</v>
      </c>
      <c r="X66" s="17">
        <v>46128</v>
      </c>
      <c r="Y66" s="17"/>
      <c r="Z66" s="18"/>
      <c r="AA66" s="17">
        <v>46307</v>
      </c>
      <c r="AB66" s="17">
        <v>46136</v>
      </c>
      <c r="AC66" s="18" t="e">
        <f t="shared" si="7"/>
        <v>#VALUE!</v>
      </c>
      <c r="AD66" s="19" t="str">
        <f t="shared" si="4"/>
        <v>17/2026</v>
      </c>
      <c r="AE66" s="17" t="s">
        <v>75</v>
      </c>
      <c r="AF66" s="18" t="str">
        <f t="shared" si="5"/>
        <v>NA</v>
      </c>
      <c r="AG66" s="19" t="s">
        <v>75</v>
      </c>
      <c r="AH66" s="17"/>
      <c r="AI66" s="18" t="str">
        <f t="shared" si="6"/>
        <v>NA</v>
      </c>
      <c r="AJ66" s="17" t="s">
        <v>75</v>
      </c>
      <c r="AK66" s="17" t="s">
        <v>75</v>
      </c>
      <c r="AL66" s="17"/>
      <c r="AM66" s="17" t="s">
        <v>75</v>
      </c>
      <c r="AN66" s="17" t="s">
        <v>75</v>
      </c>
      <c r="AO66" s="17"/>
      <c r="AP66" s="17" t="s">
        <v>75</v>
      </c>
      <c r="AQ66" s="17" t="s">
        <v>75</v>
      </c>
      <c r="AR66" s="17" t="s">
        <v>75</v>
      </c>
      <c r="AS66" s="13" t="str">
        <f ca="1">IF(OR(S66=0, S66=""), "No F1 deadline to compare", IF(T66&gt;0, IF(T66&gt;S66, "Filed after " &amp; (T66-S66) &amp; " days of deadline", "Filed within deadline"), IF(TODAY()&gt;S66, "Delayed by " &amp; (TODAY()-S66) &amp; " days", (S66-TODAY()) &amp; " days left")))</f>
        <v>Filed within deadline</v>
      </c>
      <c r="AT66" s="21" t="str">
        <f ca="1">IF(OR(TRIM(U66)="", U66=0), "No F26 deadline to compare", IF(AND(TRIM(V66)&lt;&gt;"", ISNUMBER(V66)), IF(V66&gt;U66, "Filed after " &amp; (V66-U66) &amp; " days of deadline", "Filed within deadline"), IF(TODAY()&gt;U66, "Delayed by " &amp; (TODAY()-U66) &amp; " days", (U66-TODAY()) &amp; " days left")))</f>
        <v>Filed within deadline</v>
      </c>
      <c r="AU66" s="22"/>
      <c r="AV66" s="22"/>
      <c r="AW66" s="22"/>
      <c r="AX66" s="21"/>
      <c r="AY66" s="22"/>
      <c r="AZ66" s="22"/>
      <c r="BA66" s="22"/>
      <c r="BB66" s="21"/>
      <c r="BC66" s="21"/>
      <c r="BD66" s="21"/>
      <c r="BE66" s="21"/>
      <c r="BF66" s="21"/>
      <c r="BG66" s="21"/>
      <c r="BH66" s="13" t="str">
        <f>IF(AND(AP66&lt;&gt;"",ISNUMBER(AP66)),"Patent Refused",IF(AND(AN66&lt;&gt;"",ISNUMBER(AN66)),"Patent Granted",IF(AND(AM66&lt;&gt;"",ISNUMBER(AM66)),"WS Filed",IF(AND(AND(AK66&lt;&gt;"",ISNUMBER(AK66)),NOT(AND(AM66&lt;&gt;"",ISNUMBER(AM66)))),"Hearing Attended - WS Not Filed",IF(AND(AND(AJ66&lt;&gt;"",ISNUMBER(AJ66)),NOT(AND(AK66&lt;&gt;"",ISNUMBER(AK66)))),"Hearing Issued",IF(AND(AG66&lt;&gt;"",ISNUMBER(AG66)),"FER Reply Filed",IF(AND(AND(AE66&lt;&gt;"",ISNUMBER(AE66)),NOT(AND(AG66&lt;&gt;"",ISNUMBER(AG66)))),"FER Received - Reply Not Filed",IF(AND(AB66&lt;&gt;"",ISNUMBER(AB66)),"Published",IF(AND(AND(X66&lt;&gt;"",ISNUMBER(X66)),AND(AA66&lt;&gt;"",ISNUMBER(AA66))),"F9 &amp; F18 Filed",IF(AND(NOT(AND(X66&lt;&gt;"",ISNUMBER(X66))),AND(AA66&lt;&gt;"",ISNUMBER(AA66))),"F9 Not Filed - F18 Filed",IF(AND(AND(X66&lt;&gt;"",ISNUMBER(X66)),NOT(AND(AA66&lt;&gt;"",ISNUMBER(AA66)))),"F9 Filed - F18 Not Filed",IF(AND(NOT(AND(L66&lt;&gt;"",ISNUMBER(L66))),AND(Q66&lt;&gt;"",ISNUMBER(Q66)),NOT(AND(X66&lt;&gt;"",ISNUMBER(X66))),NOT(AND(AA66&lt;&gt;"",ISNUMBER(AA66)))),"Direct CS Filed - F9 &amp; F18 Not Filed",IF(AND(AND(L66&lt;&gt;"",ISNUMBER(L66)),AND(Q66&lt;&gt;"",ISNUMBER(Q66)),NOT(AND(X66&lt;&gt;"",ISNUMBER(X66))),NOT(AND(AA66&lt;&gt;"",ISNUMBER(AA66)))),"PS-CS Filed - F9 &amp; F18 Not Filed",IF(AND(AND(L66&lt;&gt;"",ISNUMBER(L66)),NOT(AND(Q66&lt;&gt;"",ISNUMBER(Q66)))),"PS Filed - CS Not Filed","Not Started"))))))))))))))</f>
        <v>Published</v>
      </c>
      <c r="BI66" s="23"/>
      <c r="BJ66" s="31"/>
      <c r="BK66" s="31"/>
    </row>
    <row r="67" spans="1:63" ht="222">
      <c r="A67" s="13" t="s">
        <v>428</v>
      </c>
      <c r="B67" s="14" t="s">
        <v>429</v>
      </c>
      <c r="C67" s="13" t="s">
        <v>81</v>
      </c>
      <c r="D67" s="13" t="s">
        <v>67</v>
      </c>
      <c r="E67" s="15" t="s">
        <v>503</v>
      </c>
      <c r="F67" s="13" t="s">
        <v>430</v>
      </c>
      <c r="G67" s="13" t="s">
        <v>431</v>
      </c>
      <c r="H67" s="13" t="s">
        <v>432</v>
      </c>
      <c r="I67" s="13" t="s">
        <v>164</v>
      </c>
      <c r="J67" s="13" t="s">
        <v>75</v>
      </c>
      <c r="K67" s="13">
        <v>202441100901</v>
      </c>
      <c r="L67" s="17">
        <v>45645</v>
      </c>
      <c r="M67" s="18">
        <v>45827</v>
      </c>
      <c r="N67" s="13" t="s">
        <v>84</v>
      </c>
      <c r="O67" s="18" t="str">
        <f t="shared" si="0"/>
        <v>0 months left (0 days)</v>
      </c>
      <c r="P67" s="18">
        <f t="shared" si="1"/>
        <v>46192</v>
      </c>
      <c r="Q67" s="17">
        <v>46189</v>
      </c>
      <c r="R67" s="18"/>
      <c r="S67" s="17">
        <f t="shared" si="2"/>
        <v>46010</v>
      </c>
      <c r="T67" s="17">
        <v>45746</v>
      </c>
      <c r="U67" s="17">
        <f t="shared" si="3"/>
        <v>45919</v>
      </c>
      <c r="V67" s="17">
        <v>45680</v>
      </c>
      <c r="W67" s="13" t="s">
        <v>108</v>
      </c>
      <c r="X67" s="17">
        <v>46217</v>
      </c>
      <c r="Y67" s="17"/>
      <c r="Z67" s="18"/>
      <c r="AA67" s="17">
        <v>46253</v>
      </c>
      <c r="AB67" s="17">
        <v>46220</v>
      </c>
      <c r="AC67" s="18" t="e">
        <f t="shared" si="7"/>
        <v>#VALUE!</v>
      </c>
      <c r="AD67" s="19" t="str">
        <f t="shared" si="4"/>
        <v>29/2026</v>
      </c>
      <c r="AE67" s="17" t="s">
        <v>75</v>
      </c>
      <c r="AF67" s="18" t="str">
        <f t="shared" si="5"/>
        <v>NA</v>
      </c>
      <c r="AG67" s="19" t="s">
        <v>75</v>
      </c>
      <c r="AH67" s="17"/>
      <c r="AI67" s="18" t="str">
        <f t="shared" si="6"/>
        <v>NA</v>
      </c>
      <c r="AJ67" s="17" t="s">
        <v>75</v>
      </c>
      <c r="AK67" s="17" t="s">
        <v>75</v>
      </c>
      <c r="AL67" s="17"/>
      <c r="AM67" s="17" t="s">
        <v>75</v>
      </c>
      <c r="AN67" s="17" t="s">
        <v>75</v>
      </c>
      <c r="AO67" s="17"/>
      <c r="AP67" s="17" t="s">
        <v>75</v>
      </c>
      <c r="AQ67" s="17" t="s">
        <v>75</v>
      </c>
      <c r="AR67" s="17" t="s">
        <v>75</v>
      </c>
      <c r="AS67" s="13" t="str">
        <f ca="1">IF(OR(S67=0, S67=""), "No F1 deadline to compare", IF(T67&gt;0, IF(T67&gt;S67, "Filed after " &amp; (T67-S67) &amp; " days of deadline", "Filed within deadline"), IF(TODAY()&gt;S67, "Delayed by " &amp; (TODAY()-S67) &amp; " days", (S67-TODAY()) &amp; " days left")))</f>
        <v>Filed within deadline</v>
      </c>
      <c r="AT67" s="21" t="str">
        <f ca="1">IF(OR(TRIM(U67)="", U67=0), "No F26 deadline to compare", IF(AND(TRIM(V67)&lt;&gt;"", ISNUMBER(V67)), IF(V67&gt;U67, "Filed after " &amp; (V67-U67) &amp; " days of deadline", "Filed within deadline"), IF(TODAY()&gt;U67, "Delayed by " &amp; (TODAY()-U67) &amp; " days", (U67-TODAY()) &amp; " days left")))</f>
        <v>Filed within deadline</v>
      </c>
      <c r="AU67" s="22"/>
      <c r="AV67" s="22"/>
      <c r="AW67" s="22"/>
      <c r="AX67" s="21"/>
      <c r="AY67" s="22"/>
      <c r="AZ67" s="22"/>
      <c r="BA67" s="22"/>
      <c r="BB67" s="21"/>
      <c r="BC67" s="21"/>
      <c r="BD67" s="21"/>
      <c r="BE67" s="21"/>
      <c r="BF67" s="21"/>
      <c r="BG67" s="21"/>
      <c r="BH67" s="13" t="str">
        <f>IF(AND(AP67&lt;&gt;"",ISNUMBER(AP67)),"Patent Refused",IF(AND(AN67&lt;&gt;"",ISNUMBER(AN67)),"Patent Granted",IF(AND(AM67&lt;&gt;"",ISNUMBER(AM67)),"WS Filed",IF(AND(AND(AK67&lt;&gt;"",ISNUMBER(AK67)),NOT(AND(AM67&lt;&gt;"",ISNUMBER(AM67)))),"Hearing Attended - WS Not Filed",IF(AND(AND(AJ67&lt;&gt;"",ISNUMBER(AJ67)),NOT(AND(AK67&lt;&gt;"",ISNUMBER(AK67)))),"Hearing Issued",IF(AND(AG67&lt;&gt;"",ISNUMBER(AG67)),"FER Reply Filed",IF(AND(AND(AE67&lt;&gt;"",ISNUMBER(AE67)),NOT(AND(AG67&lt;&gt;"",ISNUMBER(AG67)))),"FER Received - Reply Not Filed",IF(AND(AB67&lt;&gt;"",ISNUMBER(AB67)),"Published",IF(AND(AND(X67&lt;&gt;"",ISNUMBER(X67)),AND(AA67&lt;&gt;"",ISNUMBER(AA67))),"F9 &amp; F18 Filed",IF(AND(NOT(AND(X67&lt;&gt;"",ISNUMBER(X67))),AND(AA67&lt;&gt;"",ISNUMBER(AA67))),"F9 Not Filed - F18 Filed",IF(AND(AND(X67&lt;&gt;"",ISNUMBER(X67)),NOT(AND(AA67&lt;&gt;"",ISNUMBER(AA67)))),"F9 Filed - F18 Not Filed",IF(AND(NOT(AND(L67&lt;&gt;"",ISNUMBER(L67))),AND(Q67&lt;&gt;"",ISNUMBER(Q67)),NOT(AND(X67&lt;&gt;"",ISNUMBER(X67))),NOT(AND(AA67&lt;&gt;"",ISNUMBER(AA67)))),"Direct CS Filed - F9 &amp; F18 Not Filed",IF(AND(AND(L67&lt;&gt;"",ISNUMBER(L67)),AND(Q67&lt;&gt;"",ISNUMBER(Q67)),NOT(AND(X67&lt;&gt;"",ISNUMBER(X67))),NOT(AND(AA67&lt;&gt;"",ISNUMBER(AA67)))),"PS-CS Filed - F9 &amp; F18 Not Filed",IF(AND(AND(L67&lt;&gt;"",ISNUMBER(L67)),NOT(AND(Q67&lt;&gt;"",ISNUMBER(Q67)))),"PS Filed - CS Not Filed","Not Started"))))))))))))))</f>
        <v>Published</v>
      </c>
      <c r="BI67" s="23"/>
      <c r="BJ67" s="31"/>
      <c r="BK67" s="31"/>
    </row>
    <row r="68" spans="1:63" ht="41.65">
      <c r="A68" s="13" t="s">
        <v>504</v>
      </c>
      <c r="B68" s="14" t="s">
        <v>505</v>
      </c>
      <c r="C68" s="13" t="s">
        <v>96</v>
      </c>
      <c r="D68" s="13" t="s">
        <v>67</v>
      </c>
      <c r="E68" s="15" t="s">
        <v>75</v>
      </c>
      <c r="F68" s="13" t="s">
        <v>75</v>
      </c>
      <c r="G68" s="13"/>
      <c r="H68" s="13"/>
      <c r="I68" s="13" t="s">
        <v>506</v>
      </c>
      <c r="J68" s="13" t="s">
        <v>75</v>
      </c>
      <c r="K68" s="13" t="s">
        <v>75</v>
      </c>
      <c r="L68" s="17" t="s">
        <v>75</v>
      </c>
      <c r="M68" s="18"/>
      <c r="N68" s="18"/>
      <c r="O68" s="18" t="str">
        <f t="shared" si="0"/>
        <v>PS Not yet filed</v>
      </c>
      <c r="P68" s="18" t="str">
        <f t="shared" si="1"/>
        <v/>
      </c>
      <c r="Q68" s="17" t="s">
        <v>75</v>
      </c>
      <c r="R68" s="18"/>
      <c r="S68" s="17" t="str">
        <f t="shared" si="2"/>
        <v>NA</v>
      </c>
      <c r="T68" s="17"/>
      <c r="U68" s="17" t="str">
        <f t="shared" si="3"/>
        <v>NA</v>
      </c>
      <c r="V68" s="17" t="s">
        <v>423</v>
      </c>
      <c r="W68" s="13" t="s">
        <v>89</v>
      </c>
      <c r="X68" s="17" t="s">
        <v>75</v>
      </c>
      <c r="Y68" s="17"/>
      <c r="Z68" s="18"/>
      <c r="AA68" s="17" t="s">
        <v>75</v>
      </c>
      <c r="AB68" s="17" t="s">
        <v>75</v>
      </c>
      <c r="AC68" s="18" t="e">
        <f t="shared" si="7"/>
        <v>#VALUE!</v>
      </c>
      <c r="AD68" s="19" t="str">
        <f t="shared" si="4"/>
        <v>NA</v>
      </c>
      <c r="AE68" s="17" t="s">
        <v>75</v>
      </c>
      <c r="AF68" s="18" t="str">
        <f t="shared" si="5"/>
        <v>NA</v>
      </c>
      <c r="AG68" s="19" t="s">
        <v>75</v>
      </c>
      <c r="AH68" s="17"/>
      <c r="AI68" s="18" t="str">
        <f t="shared" si="6"/>
        <v>NA</v>
      </c>
      <c r="AJ68" s="17" t="s">
        <v>75</v>
      </c>
      <c r="AK68" s="17" t="s">
        <v>75</v>
      </c>
      <c r="AL68" s="17"/>
      <c r="AM68" s="17" t="s">
        <v>75</v>
      </c>
      <c r="AN68" s="17" t="s">
        <v>75</v>
      </c>
      <c r="AO68" s="17"/>
      <c r="AP68" s="17" t="s">
        <v>75</v>
      </c>
      <c r="AQ68" s="17" t="s">
        <v>75</v>
      </c>
      <c r="AR68" s="17" t="s">
        <v>75</v>
      </c>
      <c r="AS68" s="13" t="e">
        <f ca="1">IF(OR(S68=0, S68=""), "No F1 deadline to compare", IF(T68&gt;0, IF(T68&gt;S68, "Filed after " &amp; (T68-S68) &amp; " days of deadline", "Filed within deadline"), IF(TODAY()&gt;S68, "Delayed by " &amp; (TODAY()-S68) &amp; " days", (S68-TODAY()) &amp; " days left")))</f>
        <v>#VALUE!</v>
      </c>
      <c r="AT68" s="21" t="e">
        <f ca="1">IF(OR(TRIM(U68)="", U68=0), "No F26 deadline to compare", IF(AND(TRIM(V68)&lt;&gt;"", ISNUMBER(V68)), IF(V68&gt;U68, "Filed after " &amp; (V68-U68) &amp; " days of deadline", "Filed within deadline"), IF(TODAY()&gt;U68, "Delayed by " &amp; (TODAY()-U68) &amp; " days", (U68-TODAY()) &amp; " days left")))</f>
        <v>#VALUE!</v>
      </c>
      <c r="AU68" s="22"/>
      <c r="AV68" s="22"/>
      <c r="AW68" s="22"/>
      <c r="AX68" s="21"/>
      <c r="AY68" s="22"/>
      <c r="AZ68" s="22"/>
      <c r="BA68" s="22"/>
      <c r="BB68" s="21"/>
      <c r="BC68" s="21"/>
      <c r="BD68" s="21"/>
      <c r="BE68" s="21"/>
      <c r="BF68" s="21"/>
      <c r="BG68" s="21"/>
      <c r="BH68" s="13" t="str">
        <f>IF(AND(AP68&lt;&gt;"",ISNUMBER(AP68)),"Patent Refused",IF(AND(AN68&lt;&gt;"",ISNUMBER(AN68)),"Patent Granted",IF(AND(AM68&lt;&gt;"",ISNUMBER(AM68)),"WS Filed",IF(AND(AND(AK68&lt;&gt;"",ISNUMBER(AK68)),NOT(AND(AM68&lt;&gt;"",ISNUMBER(AM68)))),"Hearing Attended - WS Not Filed",IF(AND(AND(AJ68&lt;&gt;"",ISNUMBER(AJ68)),NOT(AND(AK68&lt;&gt;"",ISNUMBER(AK68)))),"Hearing Issued",IF(AND(AG68&lt;&gt;"",ISNUMBER(AG68)),"FER Reply Filed",IF(AND(AND(AE68&lt;&gt;"",ISNUMBER(AE68)),NOT(AND(AG68&lt;&gt;"",ISNUMBER(AG68)))),"FER Received - Reply Not Filed",IF(AND(AB68&lt;&gt;"",ISNUMBER(AB68)),"Published",IF(AND(AND(X68&lt;&gt;"",ISNUMBER(X68)),AND(AA68&lt;&gt;"",ISNUMBER(AA68))),"F9 &amp; F18 Filed",IF(AND(NOT(AND(X68&lt;&gt;"",ISNUMBER(X68))),AND(AA68&lt;&gt;"",ISNUMBER(AA68))),"F9 Not Filed - F18 Filed",IF(AND(AND(X68&lt;&gt;"",ISNUMBER(X68)),NOT(AND(AA68&lt;&gt;"",ISNUMBER(AA68)))),"F9 Filed - F18 Not Filed",IF(AND(NOT(AND(L68&lt;&gt;"",ISNUMBER(L68))),AND(Q68&lt;&gt;"",ISNUMBER(Q68)),NOT(AND(X68&lt;&gt;"",ISNUMBER(X68))),NOT(AND(AA68&lt;&gt;"",ISNUMBER(AA68)))),"Direct CS Filed - F9 &amp; F18 Not Filed",IF(AND(AND(L68&lt;&gt;"",ISNUMBER(L68)),AND(Q68&lt;&gt;"",ISNUMBER(Q68)),NOT(AND(X68&lt;&gt;"",ISNUMBER(X68))),NOT(AND(AA68&lt;&gt;"",ISNUMBER(AA68)))),"PS-CS Filed - F9 &amp; F18 Not Filed",IF(AND(AND(L68&lt;&gt;"",ISNUMBER(L68)),NOT(AND(Q68&lt;&gt;"",ISNUMBER(Q68)))),"PS Filed - CS Not Filed","Not Started"))))))))))))))</f>
        <v>Not Started</v>
      </c>
      <c r="BI68" s="23"/>
      <c r="BJ68" s="31"/>
      <c r="BK68" s="31"/>
    </row>
    <row r="69" spans="1:63" ht="166.5">
      <c r="A69" s="33" t="s">
        <v>433</v>
      </c>
      <c r="B69" s="14" t="s">
        <v>434</v>
      </c>
      <c r="C69" s="13" t="s">
        <v>96</v>
      </c>
      <c r="D69" s="13" t="s">
        <v>67</v>
      </c>
      <c r="E69" s="15" t="s">
        <v>507</v>
      </c>
      <c r="F69" s="13" t="s">
        <v>435</v>
      </c>
      <c r="G69" s="13" t="s">
        <v>436</v>
      </c>
      <c r="H69" s="13" t="s">
        <v>437</v>
      </c>
      <c r="I69" s="13" t="s">
        <v>438</v>
      </c>
      <c r="J69" s="13" t="s">
        <v>75</v>
      </c>
      <c r="K69" s="13">
        <v>202441099046</v>
      </c>
      <c r="L69" s="17">
        <v>45640</v>
      </c>
      <c r="M69" s="18">
        <v>45822</v>
      </c>
      <c r="N69" s="18"/>
      <c r="O69" s="18" t="str">
        <f t="shared" si="0"/>
        <v>0 months left (0 days)</v>
      </c>
      <c r="P69" s="18">
        <f t="shared" si="1"/>
        <v>46187</v>
      </c>
      <c r="Q69" s="17" t="s">
        <v>166</v>
      </c>
      <c r="R69" s="18"/>
      <c r="S69" s="17">
        <f t="shared" si="2"/>
        <v>46005</v>
      </c>
      <c r="T69" s="17">
        <v>45644</v>
      </c>
      <c r="U69" s="17">
        <f t="shared" si="3"/>
        <v>45914</v>
      </c>
      <c r="V69" s="17">
        <v>45680</v>
      </c>
      <c r="W69" s="13" t="s">
        <v>89</v>
      </c>
      <c r="X69" s="17" t="s">
        <v>75</v>
      </c>
      <c r="Y69" s="17"/>
      <c r="Z69" s="18"/>
      <c r="AA69" s="17" t="s">
        <v>75</v>
      </c>
      <c r="AB69" s="17" t="s">
        <v>75</v>
      </c>
      <c r="AC69" s="18" t="e">
        <f t="shared" si="7"/>
        <v>#VALUE!</v>
      </c>
      <c r="AD69" s="19" t="str">
        <f t="shared" si="4"/>
        <v>NA</v>
      </c>
      <c r="AE69" s="17" t="s">
        <v>75</v>
      </c>
      <c r="AF69" s="18" t="str">
        <f t="shared" si="5"/>
        <v>NA</v>
      </c>
      <c r="AG69" s="19" t="s">
        <v>75</v>
      </c>
      <c r="AH69" s="17"/>
      <c r="AI69" s="18" t="str">
        <f t="shared" si="6"/>
        <v>NA</v>
      </c>
      <c r="AJ69" s="17" t="s">
        <v>75</v>
      </c>
      <c r="AK69" s="17" t="s">
        <v>75</v>
      </c>
      <c r="AL69" s="17"/>
      <c r="AM69" s="17" t="s">
        <v>75</v>
      </c>
      <c r="AN69" s="17" t="s">
        <v>75</v>
      </c>
      <c r="AO69" s="17"/>
      <c r="AP69" s="17" t="s">
        <v>75</v>
      </c>
      <c r="AQ69" s="17" t="s">
        <v>75</v>
      </c>
      <c r="AR69" s="17" t="s">
        <v>75</v>
      </c>
      <c r="AS69" s="13" t="str">
        <f ca="1">IF(OR(S69=0, S69=""), "No F1 deadline to compare", IF(T69&gt;0, IF(T69&gt;S69, "Filed after " &amp; (T69-S69) &amp; " days of deadline", "Filed within deadline"), IF(TODAY()&gt;S69, "Delayed by " &amp; (TODAY()-S69) &amp; " days", (S69-TODAY()) &amp; " days left")))</f>
        <v>Filed within deadline</v>
      </c>
      <c r="AT69" s="21" t="str">
        <f ca="1">IF(OR(TRIM(U69)="", U69=0), "No F26 deadline to compare", IF(AND(TRIM(V69)&lt;&gt;"", ISNUMBER(V69)), IF(V69&gt;U69, "Filed after " &amp; (V69-U69) &amp; " days of deadline", "Filed within deadline"), IF(TODAY()&gt;U69, "Delayed by " &amp; (TODAY()-U69) &amp; " days", (U69-TODAY()) &amp; " days left")))</f>
        <v>Filed within deadline</v>
      </c>
      <c r="AU69" s="22"/>
      <c r="AV69" s="22"/>
      <c r="AW69" s="22"/>
      <c r="AX69" s="21"/>
      <c r="AY69" s="22"/>
      <c r="AZ69" s="22"/>
      <c r="BA69" s="22"/>
      <c r="BB69" s="21"/>
      <c r="BC69" s="21"/>
      <c r="BD69" s="21"/>
      <c r="BE69" s="21"/>
      <c r="BF69" s="21"/>
      <c r="BG69" s="21"/>
      <c r="BH69" s="13" t="str">
        <f>IF(AND(AP69&lt;&gt;"",ISNUMBER(AP69)),"Patent Refused",IF(AND(AN69&lt;&gt;"",ISNUMBER(AN69)),"Patent Granted",IF(AND(AM69&lt;&gt;"",ISNUMBER(AM69)),"WS Filed",IF(AND(AND(AK69&lt;&gt;"",ISNUMBER(AK69)),NOT(AND(AM69&lt;&gt;"",ISNUMBER(AM69)))),"Hearing Attended - WS Not Filed",IF(AND(AND(AJ69&lt;&gt;"",ISNUMBER(AJ69)),NOT(AND(AK69&lt;&gt;"",ISNUMBER(AK69)))),"Hearing Issued",IF(AND(AG69&lt;&gt;"",ISNUMBER(AG69)),"FER Reply Filed",IF(AND(AND(AE69&lt;&gt;"",ISNUMBER(AE69)),NOT(AND(AG69&lt;&gt;"",ISNUMBER(AG69)))),"FER Received - Reply Not Filed",IF(AND(AB69&lt;&gt;"",ISNUMBER(AB69)),"Published",IF(AND(AND(X69&lt;&gt;"",ISNUMBER(X69)),AND(AA69&lt;&gt;"",ISNUMBER(AA69))),"F9 &amp; F18 Filed",IF(AND(NOT(AND(X69&lt;&gt;"",ISNUMBER(X69))),AND(AA69&lt;&gt;"",ISNUMBER(AA69))),"F9 Not Filed - F18 Filed",IF(AND(AND(X69&lt;&gt;"",ISNUMBER(X69)),NOT(AND(AA69&lt;&gt;"",ISNUMBER(AA69)))),"F9 Filed - F18 Not Filed",IF(AND(NOT(AND(L69&lt;&gt;"",ISNUMBER(L69))),AND(Q69&lt;&gt;"",ISNUMBER(Q69)),NOT(AND(X69&lt;&gt;"",ISNUMBER(X69))),NOT(AND(AA69&lt;&gt;"",ISNUMBER(AA69)))),"Direct CS Filed - F9 &amp; F18 Not Filed",IF(AND(AND(L69&lt;&gt;"",ISNUMBER(L69)),AND(Q69&lt;&gt;"",ISNUMBER(Q69)),NOT(AND(X69&lt;&gt;"",ISNUMBER(X69))),NOT(AND(AA69&lt;&gt;"",ISNUMBER(AA69)))),"PS-CS Filed - F9 &amp; F18 Not Filed",IF(AND(AND(L69&lt;&gt;"",ISNUMBER(L69)),NOT(AND(Q69&lt;&gt;"",ISNUMBER(Q69)))),"PS Filed - CS Not Filed","Not Started"))))))))))))))</f>
        <v>PS Filed - CS Not Filed</v>
      </c>
      <c r="BI69" s="23"/>
      <c r="BJ69" s="31"/>
      <c r="BK69" s="31"/>
    </row>
    <row r="70" spans="1:63" ht="138.75">
      <c r="A70" s="13" t="s">
        <v>508</v>
      </c>
      <c r="B70" s="14" t="s">
        <v>509</v>
      </c>
      <c r="C70" s="13" t="s">
        <v>96</v>
      </c>
      <c r="D70" s="13" t="s">
        <v>510</v>
      </c>
      <c r="E70" s="15" t="s">
        <v>511</v>
      </c>
      <c r="F70" s="13" t="s">
        <v>512</v>
      </c>
      <c r="G70" s="13" t="s">
        <v>436</v>
      </c>
      <c r="H70" s="13" t="s">
        <v>437</v>
      </c>
      <c r="I70" s="13" t="s">
        <v>438</v>
      </c>
      <c r="J70" s="13"/>
      <c r="K70" s="13">
        <v>202641102003</v>
      </c>
      <c r="L70" s="17">
        <v>46258</v>
      </c>
      <c r="M70" s="18"/>
      <c r="N70" s="18"/>
      <c r="O70" s="18"/>
      <c r="P70" s="18">
        <f t="shared" si="1"/>
        <v>46623</v>
      </c>
      <c r="Q70" s="17"/>
      <c r="R70" s="18"/>
      <c r="S70" s="17">
        <f t="shared" si="2"/>
        <v>46442</v>
      </c>
      <c r="T70" s="17">
        <v>46258</v>
      </c>
      <c r="U70" s="17">
        <f t="shared" si="3"/>
        <v>46350</v>
      </c>
      <c r="V70" s="17">
        <v>46298</v>
      </c>
      <c r="W70" s="13" t="s">
        <v>89</v>
      </c>
      <c r="X70" s="17"/>
      <c r="Y70" s="17"/>
      <c r="Z70" s="18"/>
      <c r="AA70" s="17"/>
      <c r="AB70" s="17"/>
      <c r="AC70" s="18"/>
      <c r="AD70" s="19">
        <f t="shared" si="4"/>
        <v>0</v>
      </c>
      <c r="AE70" s="17"/>
      <c r="AF70" s="18"/>
      <c r="AG70" s="19"/>
      <c r="AH70" s="17"/>
      <c r="AI70" s="18"/>
      <c r="AJ70" s="17"/>
      <c r="AK70" s="17"/>
      <c r="AL70" s="17"/>
      <c r="AM70" s="17"/>
      <c r="AN70" s="17"/>
      <c r="AO70" s="17"/>
      <c r="AP70" s="17"/>
      <c r="AQ70" s="17"/>
      <c r="AR70" s="17"/>
      <c r="AS70" s="13" t="str">
        <f ca="1">IF(OR(S70=0, S70=""), "No F1 deadline to compare", IF(T70&gt;0, IF(T70&gt;S70, "Filed after " &amp; (T70-S70) &amp; " days of deadline", "Filed within deadline"), IF(TODAY()&gt;S70, "Delayed by " &amp; (TODAY()-S70) &amp; " days", (S70-TODAY()) &amp; " days left")))</f>
        <v>Filed within deadline</v>
      </c>
      <c r="AT70" s="21" t="str">
        <f ca="1">IF(OR(TRIM(U70)="", U70=0), "No F26 deadline to compare", IF(AND(TRIM(V70)&lt;&gt;"", ISNUMBER(V70)), IF(V70&gt;U70, "Filed after " &amp; (V70-U70) &amp; " days of deadline", "Filed within deadline"), IF(TODAY()&gt;U70, "Delayed by " &amp; (TODAY()-U70) &amp; " days", (U70-TODAY()) &amp; " days left")))</f>
        <v>Filed within deadline</v>
      </c>
      <c r="AU70" s="22"/>
      <c r="AV70" s="22"/>
      <c r="AW70" s="22"/>
      <c r="AX70" s="21"/>
      <c r="AY70" s="22"/>
      <c r="AZ70" s="22"/>
      <c r="BA70" s="22"/>
      <c r="BB70" s="21"/>
      <c r="BC70" s="21"/>
      <c r="BD70" s="21"/>
      <c r="BE70" s="21"/>
      <c r="BF70" s="21"/>
      <c r="BG70" s="21"/>
      <c r="BH70" s="13"/>
      <c r="BI70" s="23"/>
      <c r="BJ70" s="31"/>
      <c r="BK70" s="31"/>
    </row>
    <row r="71" spans="1:63" ht="41.65">
      <c r="A71" s="13" t="s">
        <v>513</v>
      </c>
      <c r="B71" s="14" t="s">
        <v>75</v>
      </c>
      <c r="C71" s="13" t="s">
        <v>96</v>
      </c>
      <c r="D71" s="13" t="s">
        <v>67</v>
      </c>
      <c r="E71" s="15" t="s">
        <v>75</v>
      </c>
      <c r="F71" s="13" t="s">
        <v>75</v>
      </c>
      <c r="G71" s="13"/>
      <c r="H71" s="13"/>
      <c r="I71" s="13" t="s">
        <v>514</v>
      </c>
      <c r="J71" s="13" t="s">
        <v>75</v>
      </c>
      <c r="K71" s="13" t="s">
        <v>75</v>
      </c>
      <c r="L71" s="17" t="s">
        <v>75</v>
      </c>
      <c r="M71" s="18"/>
      <c r="N71" s="18"/>
      <c r="O71" s="18" t="str">
        <f t="shared" ref="O71:O89" si="8">IF(NOT(ISNUMBER(L71)),
   "PS Not yet filed",
   IF(NOT(ISNUMBER(M71)),
      "Not yet Postdated",
      IF(DATEDIF(M71,EDATE(L71,6),"m")&lt;1,
         "0 months left (" &amp; DATEDIF(M71,EDATE(L71,6),"d") &amp; " days)",
         (6 - DATEDIF(L71,M71,"m")) &amp; " months left (" &amp; DATEDIF(M71,EDATE(L71,6),"d") &amp; " days)"
      )
   )
)</f>
        <v>PS Not yet filed</v>
      </c>
      <c r="P71" s="18" t="str">
        <f t="shared" si="1"/>
        <v/>
      </c>
      <c r="Q71" s="17" t="s">
        <v>75</v>
      </c>
      <c r="R71" s="18"/>
      <c r="S71" s="17" t="str">
        <f t="shared" si="2"/>
        <v>NA</v>
      </c>
      <c r="T71" s="17"/>
      <c r="U71" s="17" t="str">
        <f t="shared" si="3"/>
        <v>NA</v>
      </c>
      <c r="V71" s="17" t="s">
        <v>423</v>
      </c>
      <c r="W71" s="13" t="s">
        <v>89</v>
      </c>
      <c r="X71" s="17" t="s">
        <v>75</v>
      </c>
      <c r="Y71" s="17"/>
      <c r="Z71" s="18"/>
      <c r="AA71" s="17" t="s">
        <v>75</v>
      </c>
      <c r="AB71" s="17" t="s">
        <v>75</v>
      </c>
      <c r="AC71" s="18" t="e">
        <f t="shared" ref="AC71:AC82" si="9">IF(VALUE(LEFT(AB71,FIND("/",AB71)-1))&gt;12,"DD/MM/YYYY","Possibly MM/DD/YYYY")</f>
        <v>#VALUE!</v>
      </c>
      <c r="AD71" s="19" t="str">
        <f t="shared" si="4"/>
        <v>NA</v>
      </c>
      <c r="AE71" s="17" t="s">
        <v>75</v>
      </c>
      <c r="AF71" s="18" t="str">
        <f t="shared" ref="AF71:AF89" si="10">IF(OR(AE71="", AE71="NA"), "NA", IFERROR(EDATE(AE71, 6), "NA"))</f>
        <v>NA</v>
      </c>
      <c r="AG71" s="19" t="s">
        <v>75</v>
      </c>
      <c r="AH71" s="17"/>
      <c r="AI71" s="18" t="str">
        <f t="shared" ref="AI71:AI89" si="11">IF(ISNUMBER(AE71), EDATE(AE71, 3), "NA")</f>
        <v>NA</v>
      </c>
      <c r="AJ71" s="17" t="s">
        <v>75</v>
      </c>
      <c r="AK71" s="17" t="s">
        <v>75</v>
      </c>
      <c r="AL71" s="17"/>
      <c r="AM71" s="17" t="s">
        <v>75</v>
      </c>
      <c r="AN71" s="17" t="s">
        <v>75</v>
      </c>
      <c r="AO71" s="17"/>
      <c r="AP71" s="17" t="s">
        <v>75</v>
      </c>
      <c r="AQ71" s="17" t="s">
        <v>75</v>
      </c>
      <c r="AR71" s="17" t="s">
        <v>75</v>
      </c>
      <c r="AS71" s="13" t="e">
        <f ca="1">IF(OR(S71=0, S71=""), "No F1 deadline to compare", IF(T71&gt;0, IF(T71&gt;S71, "Filed after " &amp; (T71-S71) &amp; " days of deadline", "Filed within deadline"), IF(TODAY()&gt;S71, "Delayed by " &amp; (TODAY()-S71) &amp; " days", (S71-TODAY()) &amp; " days left")))</f>
        <v>#VALUE!</v>
      </c>
      <c r="AT71" s="21" t="e">
        <f ca="1">IF(OR(TRIM(U71)="", U71=0), "No F26 deadline to compare", IF(AND(TRIM(V71)&lt;&gt;"", ISNUMBER(V71)), IF(V71&gt;U71, "Filed after " &amp; (V71-U71) &amp; " days of deadline", "Filed within deadline"), IF(TODAY()&gt;U71, "Delayed by " &amp; (TODAY()-U71) &amp; " days", (U71-TODAY()) &amp; " days left")))</f>
        <v>#VALUE!</v>
      </c>
      <c r="AU71" s="22"/>
      <c r="AV71" s="22"/>
      <c r="AW71" s="22"/>
      <c r="AX71" s="21"/>
      <c r="AY71" s="22"/>
      <c r="AZ71" s="22"/>
      <c r="BA71" s="22"/>
      <c r="BB71" s="21"/>
      <c r="BC71" s="21"/>
      <c r="BD71" s="21"/>
      <c r="BE71" s="21"/>
      <c r="BF71" s="21"/>
      <c r="BG71" s="21"/>
      <c r="BH71" s="13" t="str">
        <f>IF(AND(AP71&lt;&gt;"",ISNUMBER(AP71)),"Patent Refused",IF(AND(AN71&lt;&gt;"",ISNUMBER(AN71)),"Patent Granted",IF(AND(AM71&lt;&gt;"",ISNUMBER(AM71)),"WS Filed",IF(AND(AND(AK71&lt;&gt;"",ISNUMBER(AK71)),NOT(AND(AM71&lt;&gt;"",ISNUMBER(AM71)))),"Hearing Attended - WS Not Filed",IF(AND(AND(AJ71&lt;&gt;"",ISNUMBER(AJ71)),NOT(AND(AK71&lt;&gt;"",ISNUMBER(AK71)))),"Hearing Issued",IF(AND(AG71&lt;&gt;"",ISNUMBER(AG71)),"FER Reply Filed",IF(AND(AND(AE71&lt;&gt;"",ISNUMBER(AE71)),NOT(AND(AG71&lt;&gt;"",ISNUMBER(AG71)))),"FER Received - Reply Not Filed",IF(AND(AB71&lt;&gt;"",ISNUMBER(AB71)),"Published",IF(AND(AND(X71&lt;&gt;"",ISNUMBER(X71)),AND(AA71&lt;&gt;"",ISNUMBER(AA71))),"F9 &amp; F18 Filed",IF(AND(NOT(AND(X71&lt;&gt;"",ISNUMBER(X71))),AND(AA71&lt;&gt;"",ISNUMBER(AA71))),"F9 Not Filed - F18 Filed",IF(AND(AND(X71&lt;&gt;"",ISNUMBER(X71)),NOT(AND(AA71&lt;&gt;"",ISNUMBER(AA71)))),"F9 Filed - F18 Not Filed",IF(AND(NOT(AND(L71&lt;&gt;"",ISNUMBER(L71))),AND(Q71&lt;&gt;"",ISNUMBER(Q71)),NOT(AND(X71&lt;&gt;"",ISNUMBER(X71))),NOT(AND(AA71&lt;&gt;"",ISNUMBER(AA71)))),"Direct CS Filed - F9 &amp; F18 Not Filed",IF(AND(AND(L71&lt;&gt;"",ISNUMBER(L71)),AND(Q71&lt;&gt;"",ISNUMBER(Q71)),NOT(AND(X71&lt;&gt;"",ISNUMBER(X71))),NOT(AND(AA71&lt;&gt;"",ISNUMBER(AA71)))),"PS-CS Filed - F9 &amp; F18 Not Filed",IF(AND(AND(L71&lt;&gt;"",ISNUMBER(L71)),NOT(AND(Q71&lt;&gt;"",ISNUMBER(Q71)))),"PS Filed - CS Not Filed","Not Started"))))))))))))))</f>
        <v>Not Started</v>
      </c>
      <c r="BI71" s="23"/>
      <c r="BJ71" s="31"/>
      <c r="BK71" s="31"/>
    </row>
    <row r="72" spans="1:63" ht="41.65">
      <c r="A72" s="33" t="s">
        <v>515</v>
      </c>
      <c r="B72" s="14" t="s">
        <v>75</v>
      </c>
      <c r="C72" s="13" t="s">
        <v>96</v>
      </c>
      <c r="D72" s="13" t="s">
        <v>67</v>
      </c>
      <c r="E72" s="15" t="s">
        <v>75</v>
      </c>
      <c r="F72" s="13" t="s">
        <v>75</v>
      </c>
      <c r="G72" s="13"/>
      <c r="H72" s="13"/>
      <c r="I72" s="13" t="s">
        <v>75</v>
      </c>
      <c r="J72" s="13" t="s">
        <v>75</v>
      </c>
      <c r="K72" s="13" t="s">
        <v>75</v>
      </c>
      <c r="L72" s="17" t="s">
        <v>75</v>
      </c>
      <c r="M72" s="18"/>
      <c r="N72" s="18"/>
      <c r="O72" s="18" t="str">
        <f t="shared" si="8"/>
        <v>PS Not yet filed</v>
      </c>
      <c r="P72" s="18" t="str">
        <f t="shared" si="1"/>
        <v/>
      </c>
      <c r="Q72" s="17" t="s">
        <v>75</v>
      </c>
      <c r="R72" s="18"/>
      <c r="S72" s="17" t="str">
        <f t="shared" si="2"/>
        <v>NA</v>
      </c>
      <c r="T72" s="17"/>
      <c r="U72" s="17" t="str">
        <f t="shared" si="3"/>
        <v>NA</v>
      </c>
      <c r="V72" s="17" t="s">
        <v>423</v>
      </c>
      <c r="W72" s="13" t="s">
        <v>89</v>
      </c>
      <c r="X72" s="17" t="s">
        <v>75</v>
      </c>
      <c r="Y72" s="17"/>
      <c r="Z72" s="18"/>
      <c r="AA72" s="17" t="s">
        <v>75</v>
      </c>
      <c r="AB72" s="17" t="s">
        <v>75</v>
      </c>
      <c r="AC72" s="18" t="e">
        <f t="shared" si="9"/>
        <v>#VALUE!</v>
      </c>
      <c r="AD72" s="19" t="str">
        <f t="shared" si="4"/>
        <v>NA</v>
      </c>
      <c r="AE72" s="17" t="s">
        <v>75</v>
      </c>
      <c r="AF72" s="18" t="str">
        <f t="shared" si="10"/>
        <v>NA</v>
      </c>
      <c r="AG72" s="19" t="s">
        <v>75</v>
      </c>
      <c r="AH72" s="17"/>
      <c r="AI72" s="18" t="str">
        <f t="shared" si="11"/>
        <v>NA</v>
      </c>
      <c r="AJ72" s="17" t="s">
        <v>75</v>
      </c>
      <c r="AK72" s="17" t="s">
        <v>75</v>
      </c>
      <c r="AL72" s="17"/>
      <c r="AM72" s="17" t="s">
        <v>75</v>
      </c>
      <c r="AN72" s="17" t="s">
        <v>75</v>
      </c>
      <c r="AO72" s="17"/>
      <c r="AP72" s="17" t="s">
        <v>75</v>
      </c>
      <c r="AQ72" s="17" t="s">
        <v>75</v>
      </c>
      <c r="AR72" s="17" t="s">
        <v>75</v>
      </c>
      <c r="AS72" s="13" t="e">
        <f ca="1">IF(OR(S72=0, S72=""), "No F1 deadline to compare", IF(T72&gt;0, IF(T72&gt;S72, "Filed after " &amp; (T72-S72) &amp; " days of deadline", "Filed within deadline"), IF(TODAY()&gt;S72, "Delayed by " &amp; (TODAY()-S72) &amp; " days", (S72-TODAY()) &amp; " days left")))</f>
        <v>#VALUE!</v>
      </c>
      <c r="AT72" s="21" t="e">
        <f ca="1">IF(OR(TRIM(U72)="", U72=0), "No F26 deadline to compare", IF(AND(TRIM(V72)&lt;&gt;"", ISNUMBER(V72)), IF(V72&gt;U72, "Filed after " &amp; (V72-U72) &amp; " days of deadline", "Filed within deadline"), IF(TODAY()&gt;U72, "Delayed by " &amp; (TODAY()-U72) &amp; " days", (U72-TODAY()) &amp; " days left")))</f>
        <v>#VALUE!</v>
      </c>
      <c r="AU72" s="22"/>
      <c r="AV72" s="22"/>
      <c r="AW72" s="22"/>
      <c r="AX72" s="21"/>
      <c r="AY72" s="22"/>
      <c r="AZ72" s="22"/>
      <c r="BA72" s="22"/>
      <c r="BB72" s="21"/>
      <c r="BC72" s="21"/>
      <c r="BD72" s="21"/>
      <c r="BE72" s="21"/>
      <c r="BF72" s="21"/>
      <c r="BG72" s="21"/>
      <c r="BH72" s="13" t="str">
        <f>IF(AND(AP72&lt;&gt;"",ISNUMBER(AP72)),"Patent Refused",IF(AND(AN72&lt;&gt;"",ISNUMBER(AN72)),"Patent Granted",IF(AND(AM72&lt;&gt;"",ISNUMBER(AM72)),"WS Filed",IF(AND(AND(AK72&lt;&gt;"",ISNUMBER(AK72)),NOT(AND(AM72&lt;&gt;"",ISNUMBER(AM72)))),"Hearing Attended - WS Not Filed",IF(AND(AND(AJ72&lt;&gt;"",ISNUMBER(AJ72)),NOT(AND(AK72&lt;&gt;"",ISNUMBER(AK72)))),"Hearing Issued",IF(AND(AG72&lt;&gt;"",ISNUMBER(AG72)),"FER Reply Filed",IF(AND(AND(AE72&lt;&gt;"",ISNUMBER(AE72)),NOT(AND(AG72&lt;&gt;"",ISNUMBER(AG72)))),"FER Received - Reply Not Filed",IF(AND(AB72&lt;&gt;"",ISNUMBER(AB72)),"Published",IF(AND(AND(X72&lt;&gt;"",ISNUMBER(X72)),AND(AA72&lt;&gt;"",ISNUMBER(AA72))),"F9 &amp; F18 Filed",IF(AND(NOT(AND(X72&lt;&gt;"",ISNUMBER(X72))),AND(AA72&lt;&gt;"",ISNUMBER(AA72))),"F9 Not Filed - F18 Filed",IF(AND(AND(X72&lt;&gt;"",ISNUMBER(X72)),NOT(AND(AA72&lt;&gt;"",ISNUMBER(AA72)))),"F9 Filed - F18 Not Filed",IF(AND(NOT(AND(L72&lt;&gt;"",ISNUMBER(L72))),AND(Q72&lt;&gt;"",ISNUMBER(Q72)),NOT(AND(X72&lt;&gt;"",ISNUMBER(X72))),NOT(AND(AA72&lt;&gt;"",ISNUMBER(AA72)))),"Direct CS Filed - F9 &amp; F18 Not Filed",IF(AND(AND(L72&lt;&gt;"",ISNUMBER(L72)),AND(Q72&lt;&gt;"",ISNUMBER(Q72)),NOT(AND(X72&lt;&gt;"",ISNUMBER(X72))),NOT(AND(AA72&lt;&gt;"",ISNUMBER(AA72)))),"PS-CS Filed - F9 &amp; F18 Not Filed",IF(AND(AND(L72&lt;&gt;"",ISNUMBER(L72)),NOT(AND(Q72&lt;&gt;"",ISNUMBER(Q72)))),"PS Filed - CS Not Filed","Not Started"))))))))))))))</f>
        <v>Not Started</v>
      </c>
      <c r="BI72" s="23"/>
      <c r="BJ72" s="31"/>
      <c r="BK72" s="31"/>
    </row>
    <row r="73" spans="1:63" ht="41.65">
      <c r="A73" s="13" t="s">
        <v>516</v>
      </c>
      <c r="B73" s="14" t="s">
        <v>75</v>
      </c>
      <c r="C73" s="13" t="s">
        <v>96</v>
      </c>
      <c r="D73" s="13" t="s">
        <v>67</v>
      </c>
      <c r="E73" s="15" t="s">
        <v>75</v>
      </c>
      <c r="F73" s="13" t="s">
        <v>75</v>
      </c>
      <c r="G73" s="13"/>
      <c r="H73" s="13"/>
      <c r="I73" s="13" t="s">
        <v>422</v>
      </c>
      <c r="J73" s="13" t="s">
        <v>75</v>
      </c>
      <c r="K73" s="13" t="s">
        <v>75</v>
      </c>
      <c r="L73" s="17" t="s">
        <v>75</v>
      </c>
      <c r="M73" s="18"/>
      <c r="N73" s="18"/>
      <c r="O73" s="18" t="str">
        <f t="shared" si="8"/>
        <v>PS Not yet filed</v>
      </c>
      <c r="P73" s="18" t="str">
        <f t="shared" si="1"/>
        <v/>
      </c>
      <c r="Q73" s="17" t="s">
        <v>75</v>
      </c>
      <c r="R73" s="18"/>
      <c r="S73" s="17" t="str">
        <f t="shared" si="2"/>
        <v>NA</v>
      </c>
      <c r="T73" s="17"/>
      <c r="U73" s="17" t="str">
        <f t="shared" si="3"/>
        <v>NA</v>
      </c>
      <c r="V73" s="17" t="s">
        <v>423</v>
      </c>
      <c r="W73" s="13" t="s">
        <v>89</v>
      </c>
      <c r="X73" s="17" t="s">
        <v>75</v>
      </c>
      <c r="Y73" s="17"/>
      <c r="Z73" s="18"/>
      <c r="AA73" s="17" t="s">
        <v>75</v>
      </c>
      <c r="AB73" s="17" t="s">
        <v>75</v>
      </c>
      <c r="AC73" s="18" t="e">
        <f t="shared" si="9"/>
        <v>#VALUE!</v>
      </c>
      <c r="AD73" s="19" t="str">
        <f t="shared" si="4"/>
        <v>NA</v>
      </c>
      <c r="AE73" s="17" t="s">
        <v>75</v>
      </c>
      <c r="AF73" s="18" t="str">
        <f t="shared" si="10"/>
        <v>NA</v>
      </c>
      <c r="AG73" s="19" t="s">
        <v>75</v>
      </c>
      <c r="AH73" s="17"/>
      <c r="AI73" s="18" t="str">
        <f t="shared" si="11"/>
        <v>NA</v>
      </c>
      <c r="AJ73" s="17" t="s">
        <v>75</v>
      </c>
      <c r="AK73" s="17" t="s">
        <v>75</v>
      </c>
      <c r="AL73" s="17"/>
      <c r="AM73" s="17" t="s">
        <v>75</v>
      </c>
      <c r="AN73" s="17" t="s">
        <v>75</v>
      </c>
      <c r="AO73" s="17"/>
      <c r="AP73" s="17" t="s">
        <v>75</v>
      </c>
      <c r="AQ73" s="17" t="s">
        <v>75</v>
      </c>
      <c r="AR73" s="17" t="s">
        <v>75</v>
      </c>
      <c r="AS73" s="13" t="e">
        <f ca="1">IF(OR(S73=0, S73=""), "No F1 deadline to compare", IF(T73&gt;0, IF(T73&gt;S73, "Filed after " &amp; (T73-S73) &amp; " days of deadline", "Filed within deadline"), IF(TODAY()&gt;S73, "Delayed by " &amp; (TODAY()-S73) &amp; " days", (S73-TODAY()) &amp; " days left")))</f>
        <v>#VALUE!</v>
      </c>
      <c r="AT73" s="21" t="e">
        <f ca="1">IF(OR(TRIM(U73)="", U73=0), "No F26 deadline to compare", IF(AND(TRIM(V73)&lt;&gt;"", ISNUMBER(V73)), IF(V73&gt;U73, "Filed after " &amp; (V73-U73) &amp; " days of deadline", "Filed within deadline"), IF(TODAY()&gt;U73, "Delayed by " &amp; (TODAY()-U73) &amp; " days", (U73-TODAY()) &amp; " days left")))</f>
        <v>#VALUE!</v>
      </c>
      <c r="AU73" s="22"/>
      <c r="AV73" s="22"/>
      <c r="AW73" s="22"/>
      <c r="AX73" s="21"/>
      <c r="AY73" s="22"/>
      <c r="AZ73" s="22"/>
      <c r="BA73" s="22"/>
      <c r="BB73" s="21"/>
      <c r="BC73" s="21"/>
      <c r="BD73" s="21"/>
      <c r="BE73" s="21"/>
      <c r="BF73" s="21"/>
      <c r="BG73" s="21"/>
      <c r="BH73" s="13" t="str">
        <f>IF(AND(AP73&lt;&gt;"",ISNUMBER(AP73)),"Patent Refused",IF(AND(AN73&lt;&gt;"",ISNUMBER(AN73)),"Patent Granted",IF(AND(AM73&lt;&gt;"",ISNUMBER(AM73)),"WS Filed",IF(AND(AND(AK73&lt;&gt;"",ISNUMBER(AK73)),NOT(AND(AM73&lt;&gt;"",ISNUMBER(AM73)))),"Hearing Attended - WS Not Filed",IF(AND(AND(AJ73&lt;&gt;"",ISNUMBER(AJ73)),NOT(AND(AK73&lt;&gt;"",ISNUMBER(AK73)))),"Hearing Issued",IF(AND(AG73&lt;&gt;"",ISNUMBER(AG73)),"FER Reply Filed",IF(AND(AND(AE73&lt;&gt;"",ISNUMBER(AE73)),NOT(AND(AG73&lt;&gt;"",ISNUMBER(AG73)))),"FER Received - Reply Not Filed",IF(AND(AB73&lt;&gt;"",ISNUMBER(AB73)),"Published",IF(AND(AND(X73&lt;&gt;"",ISNUMBER(X73)),AND(AA73&lt;&gt;"",ISNUMBER(AA73))),"F9 &amp; F18 Filed",IF(AND(NOT(AND(X73&lt;&gt;"",ISNUMBER(X73))),AND(AA73&lt;&gt;"",ISNUMBER(AA73))),"F9 Not Filed - F18 Filed",IF(AND(AND(X73&lt;&gt;"",ISNUMBER(X73)),NOT(AND(AA73&lt;&gt;"",ISNUMBER(AA73)))),"F9 Filed - F18 Not Filed",IF(AND(NOT(AND(L73&lt;&gt;"",ISNUMBER(L73))),AND(Q73&lt;&gt;"",ISNUMBER(Q73)),NOT(AND(X73&lt;&gt;"",ISNUMBER(X73))),NOT(AND(AA73&lt;&gt;"",ISNUMBER(AA73)))),"Direct CS Filed - F9 &amp; F18 Not Filed",IF(AND(AND(L73&lt;&gt;"",ISNUMBER(L73)),AND(Q73&lt;&gt;"",ISNUMBER(Q73)),NOT(AND(X73&lt;&gt;"",ISNUMBER(X73))),NOT(AND(AA73&lt;&gt;"",ISNUMBER(AA73)))),"PS-CS Filed - F9 &amp; F18 Not Filed",IF(AND(AND(L73&lt;&gt;"",ISNUMBER(L73)),NOT(AND(Q73&lt;&gt;"",ISNUMBER(Q73)))),"PS Filed - CS Not Filed","Not Started"))))))))))))))</f>
        <v>Not Started</v>
      </c>
      <c r="BI73" s="23"/>
      <c r="BJ73" s="31"/>
      <c r="BK73" s="31"/>
    </row>
    <row r="74" spans="1:63" ht="409.5">
      <c r="A74" s="13" t="s">
        <v>440</v>
      </c>
      <c r="B74" s="14" t="s">
        <v>441</v>
      </c>
      <c r="C74" s="13" t="s">
        <v>96</v>
      </c>
      <c r="D74" s="13" t="s">
        <v>67</v>
      </c>
      <c r="E74" s="15" t="s">
        <v>517</v>
      </c>
      <c r="F74" s="13" t="s">
        <v>442</v>
      </c>
      <c r="G74" s="13" t="s">
        <v>443</v>
      </c>
      <c r="H74" s="13" t="s">
        <v>444</v>
      </c>
      <c r="I74" s="13" t="s">
        <v>445</v>
      </c>
      <c r="J74" s="13" t="s">
        <v>75</v>
      </c>
      <c r="K74" s="13">
        <v>202441097558</v>
      </c>
      <c r="L74" s="17">
        <v>45636</v>
      </c>
      <c r="M74" s="18"/>
      <c r="N74" s="18"/>
      <c r="O74" s="18" t="str">
        <f t="shared" si="8"/>
        <v>Not yet Postdated</v>
      </c>
      <c r="P74" s="18">
        <f t="shared" si="1"/>
        <v>46001</v>
      </c>
      <c r="Q74" s="17">
        <v>45814</v>
      </c>
      <c r="R74" s="18"/>
      <c r="S74" s="17">
        <f t="shared" si="2"/>
        <v>45818</v>
      </c>
      <c r="T74" s="17">
        <v>45638</v>
      </c>
      <c r="U74" s="17">
        <f t="shared" si="3"/>
        <v>45726</v>
      </c>
      <c r="V74" s="17">
        <v>45680</v>
      </c>
      <c r="W74" s="13" t="s">
        <v>89</v>
      </c>
      <c r="X74" s="17">
        <v>45827</v>
      </c>
      <c r="Y74" s="17"/>
      <c r="Z74" s="18"/>
      <c r="AA74" s="17" t="s">
        <v>446</v>
      </c>
      <c r="AB74" s="17">
        <v>45835</v>
      </c>
      <c r="AC74" s="18" t="e">
        <f t="shared" si="9"/>
        <v>#VALUE!</v>
      </c>
      <c r="AD74" s="19" t="str">
        <f t="shared" si="4"/>
        <v>26/2025</v>
      </c>
      <c r="AE74" s="17" t="s">
        <v>75</v>
      </c>
      <c r="AF74" s="18" t="str">
        <f t="shared" si="10"/>
        <v>NA</v>
      </c>
      <c r="AG74" s="19" t="s">
        <v>75</v>
      </c>
      <c r="AH74" s="17"/>
      <c r="AI74" s="18" t="str">
        <f t="shared" si="11"/>
        <v>NA</v>
      </c>
      <c r="AJ74" s="17" t="s">
        <v>75</v>
      </c>
      <c r="AK74" s="17" t="s">
        <v>75</v>
      </c>
      <c r="AL74" s="17"/>
      <c r="AM74" s="17" t="s">
        <v>75</v>
      </c>
      <c r="AN74" s="17" t="s">
        <v>75</v>
      </c>
      <c r="AO74" s="17"/>
      <c r="AP74" s="17" t="s">
        <v>75</v>
      </c>
      <c r="AQ74" s="17" t="s">
        <v>75</v>
      </c>
      <c r="AR74" s="17" t="s">
        <v>75</v>
      </c>
      <c r="AS74" s="13" t="str">
        <f ca="1">IF(OR(S74=0, S74=""), "No F1 deadline to compare", IF(T74&gt;0, IF(T74&gt;S74, "Filed after " &amp; (T74-S74) &amp; " days of deadline", "Filed within deadline"), IF(TODAY()&gt;S74, "Delayed by " &amp; (TODAY()-S74) &amp; " days", (S74-TODAY()) &amp; " days left")))</f>
        <v>Filed within deadline</v>
      </c>
      <c r="AT74" s="21" t="str">
        <f ca="1">IF(OR(TRIM(U74)="", U74=0), "No F26 deadline to compare", IF(AND(TRIM(V74)&lt;&gt;"", ISNUMBER(V74)), IF(V74&gt;U74, "Filed after " &amp; (V74-U74) &amp; " days of deadline", "Filed within deadline"), IF(TODAY()&gt;U74, "Delayed by " &amp; (TODAY()-U74) &amp; " days", (U74-TODAY()) &amp; " days left")))</f>
        <v>Filed within deadline</v>
      </c>
      <c r="AU74" s="22"/>
      <c r="AV74" s="22"/>
      <c r="AW74" s="22"/>
      <c r="AX74" s="21"/>
      <c r="AY74" s="22"/>
      <c r="AZ74" s="22"/>
      <c r="BA74" s="22"/>
      <c r="BB74" s="21"/>
      <c r="BC74" s="21"/>
      <c r="BD74" s="21"/>
      <c r="BE74" s="21"/>
      <c r="BF74" s="21"/>
      <c r="BG74" s="21"/>
      <c r="BH74" s="13" t="str">
        <f>IF(AND(AP74&lt;&gt;"",ISNUMBER(AP74)),"Patent Refused",IF(AND(AN74&lt;&gt;"",ISNUMBER(AN74)),"Patent Granted",IF(AND(AM74&lt;&gt;"",ISNUMBER(AM74)),"WS Filed",IF(AND(AND(AK74&lt;&gt;"",ISNUMBER(AK74)),NOT(AND(AM74&lt;&gt;"",ISNUMBER(AM74)))),"Hearing Attended - WS Not Filed",IF(AND(AND(AJ74&lt;&gt;"",ISNUMBER(AJ74)),NOT(AND(AK74&lt;&gt;"",ISNUMBER(AK74)))),"Hearing Issued",IF(AND(AG74&lt;&gt;"",ISNUMBER(AG74)),"FER Reply Filed",IF(AND(AND(AE74&lt;&gt;"",ISNUMBER(AE74)),NOT(AND(AG74&lt;&gt;"",ISNUMBER(AG74)))),"FER Received - Reply Not Filed",IF(AND(AB74&lt;&gt;"",ISNUMBER(AB74)),"Published",IF(AND(AND(X74&lt;&gt;"",ISNUMBER(X74)),AND(AA74&lt;&gt;"",ISNUMBER(AA74))),"F9 &amp; F18 Filed",IF(AND(NOT(AND(X74&lt;&gt;"",ISNUMBER(X74))),AND(AA74&lt;&gt;"",ISNUMBER(AA74))),"F9 Not Filed - F18 Filed",IF(AND(AND(X74&lt;&gt;"",ISNUMBER(X74)),NOT(AND(AA74&lt;&gt;"",ISNUMBER(AA74)))),"F9 Filed - F18 Not Filed",IF(AND(NOT(AND(L74&lt;&gt;"",ISNUMBER(L74))),AND(Q74&lt;&gt;"",ISNUMBER(Q74)),NOT(AND(X74&lt;&gt;"",ISNUMBER(X74))),NOT(AND(AA74&lt;&gt;"",ISNUMBER(AA74)))),"Direct CS Filed - F9 &amp; F18 Not Filed",IF(AND(AND(L74&lt;&gt;"",ISNUMBER(L74)),AND(Q74&lt;&gt;"",ISNUMBER(Q74)),NOT(AND(X74&lt;&gt;"",ISNUMBER(X74))),NOT(AND(AA74&lt;&gt;"",ISNUMBER(AA74)))),"PS-CS Filed - F9 &amp; F18 Not Filed",IF(AND(AND(L74&lt;&gt;"",ISNUMBER(L74)),NOT(AND(Q74&lt;&gt;"",ISNUMBER(Q74)))),"PS Filed - CS Not Filed","Not Started"))))))))))))))</f>
        <v>Published</v>
      </c>
      <c r="BI74" s="23"/>
      <c r="BJ74" s="31"/>
      <c r="BK74" s="31"/>
    </row>
    <row r="75" spans="1:63" ht="55.5">
      <c r="A75" s="13" t="s">
        <v>518</v>
      </c>
      <c r="B75" s="14" t="s">
        <v>505</v>
      </c>
      <c r="C75" s="13" t="s">
        <v>266</v>
      </c>
      <c r="D75" s="13" t="s">
        <v>67</v>
      </c>
      <c r="E75" s="15" t="s">
        <v>75</v>
      </c>
      <c r="F75" s="13" t="s">
        <v>75</v>
      </c>
      <c r="G75" s="13"/>
      <c r="H75" s="13"/>
      <c r="I75" s="13" t="s">
        <v>519</v>
      </c>
      <c r="J75" s="13" t="s">
        <v>75</v>
      </c>
      <c r="K75" s="13" t="s">
        <v>75</v>
      </c>
      <c r="L75" s="17" t="s">
        <v>75</v>
      </c>
      <c r="M75" s="18"/>
      <c r="N75" s="18"/>
      <c r="O75" s="18" t="str">
        <f t="shared" si="8"/>
        <v>PS Not yet filed</v>
      </c>
      <c r="P75" s="18" t="str">
        <f t="shared" si="1"/>
        <v/>
      </c>
      <c r="Q75" s="17" t="s">
        <v>75</v>
      </c>
      <c r="R75" s="18"/>
      <c r="S75" s="17" t="str">
        <f t="shared" si="2"/>
        <v>NA</v>
      </c>
      <c r="T75" s="17"/>
      <c r="U75" s="17" t="str">
        <f t="shared" si="3"/>
        <v>NA</v>
      </c>
      <c r="V75" s="17" t="s">
        <v>423</v>
      </c>
      <c r="W75" s="13" t="s">
        <v>108</v>
      </c>
      <c r="X75" s="17" t="s">
        <v>75</v>
      </c>
      <c r="Y75" s="17"/>
      <c r="Z75" s="18"/>
      <c r="AA75" s="17" t="s">
        <v>75</v>
      </c>
      <c r="AB75" s="17" t="s">
        <v>75</v>
      </c>
      <c r="AC75" s="18" t="e">
        <f t="shared" si="9"/>
        <v>#VALUE!</v>
      </c>
      <c r="AD75" s="19" t="str">
        <f t="shared" si="4"/>
        <v>NA</v>
      </c>
      <c r="AE75" s="17" t="s">
        <v>75</v>
      </c>
      <c r="AF75" s="18" t="str">
        <f t="shared" si="10"/>
        <v>NA</v>
      </c>
      <c r="AG75" s="19" t="s">
        <v>75</v>
      </c>
      <c r="AH75" s="17"/>
      <c r="AI75" s="18" t="str">
        <f t="shared" si="11"/>
        <v>NA</v>
      </c>
      <c r="AJ75" s="17" t="s">
        <v>75</v>
      </c>
      <c r="AK75" s="17" t="s">
        <v>75</v>
      </c>
      <c r="AL75" s="17"/>
      <c r="AM75" s="17" t="s">
        <v>75</v>
      </c>
      <c r="AN75" s="17" t="s">
        <v>75</v>
      </c>
      <c r="AO75" s="17"/>
      <c r="AP75" s="17" t="s">
        <v>75</v>
      </c>
      <c r="AQ75" s="17" t="s">
        <v>75</v>
      </c>
      <c r="AR75" s="17" t="s">
        <v>75</v>
      </c>
      <c r="AS75" s="13" t="e">
        <f ca="1">IF(OR(S75=0, S75=""), "No F1 deadline to compare", IF(T75&gt;0, IF(T75&gt;S75, "Filed after " &amp; (T75-S75) &amp; " days of deadline", "Filed within deadline"), IF(TODAY()&gt;S75, "Delayed by " &amp; (TODAY()-S75) &amp; " days", (S75-TODAY()) &amp; " days left")))</f>
        <v>#VALUE!</v>
      </c>
      <c r="AT75" s="21" t="e">
        <f ca="1">IF(OR(TRIM(U75)="", U75=0), "No F26 deadline to compare", IF(AND(TRIM(V75)&lt;&gt;"", ISNUMBER(V75)), IF(V75&gt;U75, "Filed after " &amp; (V75-U75) &amp; " days of deadline", "Filed within deadline"), IF(TODAY()&gt;U75, "Delayed by " &amp; (TODAY()-U75) &amp; " days", (U75-TODAY()) &amp; " days left")))</f>
        <v>#VALUE!</v>
      </c>
      <c r="AU75" s="22"/>
      <c r="AV75" s="22"/>
      <c r="AW75" s="22"/>
      <c r="AX75" s="21"/>
      <c r="AY75" s="22"/>
      <c r="AZ75" s="22"/>
      <c r="BA75" s="22"/>
      <c r="BB75" s="21"/>
      <c r="BC75" s="21"/>
      <c r="BD75" s="21"/>
      <c r="BE75" s="21"/>
      <c r="BF75" s="21"/>
      <c r="BG75" s="21"/>
      <c r="BH75" s="13" t="str">
        <f>IF(AND(AP75&lt;&gt;"",ISNUMBER(AP75)),"Patent Refused",IF(AND(AN75&lt;&gt;"",ISNUMBER(AN75)),"Patent Granted",IF(AND(AM75&lt;&gt;"",ISNUMBER(AM75)),"WS Filed",IF(AND(AND(AK75&lt;&gt;"",ISNUMBER(AK75)),NOT(AND(AM75&lt;&gt;"",ISNUMBER(AM75)))),"Hearing Attended - WS Not Filed",IF(AND(AND(AJ75&lt;&gt;"",ISNUMBER(AJ75)),NOT(AND(AK75&lt;&gt;"",ISNUMBER(AK75)))),"Hearing Issued",IF(AND(AG75&lt;&gt;"",ISNUMBER(AG75)),"FER Reply Filed",IF(AND(AND(AE75&lt;&gt;"",ISNUMBER(AE75)),NOT(AND(AG75&lt;&gt;"",ISNUMBER(AG75)))),"FER Received - Reply Not Filed",IF(AND(AB75&lt;&gt;"",ISNUMBER(AB75)),"Published",IF(AND(AND(X75&lt;&gt;"",ISNUMBER(X75)),AND(AA75&lt;&gt;"",ISNUMBER(AA75))),"F9 &amp; F18 Filed",IF(AND(NOT(AND(X75&lt;&gt;"",ISNUMBER(X75))),AND(AA75&lt;&gt;"",ISNUMBER(AA75))),"F9 Not Filed - F18 Filed",IF(AND(AND(X75&lt;&gt;"",ISNUMBER(X75)),NOT(AND(AA75&lt;&gt;"",ISNUMBER(AA75)))),"F9 Filed - F18 Not Filed",IF(AND(NOT(AND(L75&lt;&gt;"",ISNUMBER(L75))),AND(Q75&lt;&gt;"",ISNUMBER(Q75)),NOT(AND(X75&lt;&gt;"",ISNUMBER(X75))),NOT(AND(AA75&lt;&gt;"",ISNUMBER(AA75)))),"Direct CS Filed - F9 &amp; F18 Not Filed",IF(AND(AND(L75&lt;&gt;"",ISNUMBER(L75)),AND(Q75&lt;&gt;"",ISNUMBER(Q75)),NOT(AND(X75&lt;&gt;"",ISNUMBER(X75))),NOT(AND(AA75&lt;&gt;"",ISNUMBER(AA75)))),"PS-CS Filed - F9 &amp; F18 Not Filed",IF(AND(AND(L75&lt;&gt;"",ISNUMBER(L75)),NOT(AND(Q75&lt;&gt;"",ISNUMBER(Q75)))),"PS Filed - CS Not Filed","Not Started"))))))))))))))</f>
        <v>Not Started</v>
      </c>
      <c r="BI75" s="23"/>
      <c r="BJ75" s="31"/>
      <c r="BK75" s="31"/>
    </row>
    <row r="76" spans="1:63" ht="222">
      <c r="A76" s="13" t="s">
        <v>520</v>
      </c>
      <c r="B76" s="14" t="s">
        <v>521</v>
      </c>
      <c r="C76" s="13" t="s">
        <v>96</v>
      </c>
      <c r="D76" s="13" t="s">
        <v>67</v>
      </c>
      <c r="E76" s="15" t="s">
        <v>522</v>
      </c>
      <c r="F76" s="13" t="s">
        <v>523</v>
      </c>
      <c r="G76" s="13" t="s">
        <v>524</v>
      </c>
      <c r="H76" s="13" t="s">
        <v>525</v>
      </c>
      <c r="I76" s="13" t="s">
        <v>526</v>
      </c>
      <c r="J76" s="13" t="s">
        <v>75</v>
      </c>
      <c r="K76" s="13">
        <v>202541112237</v>
      </c>
      <c r="L76" s="17">
        <v>45977</v>
      </c>
      <c r="M76" s="18"/>
      <c r="N76" s="18"/>
      <c r="O76" s="18" t="str">
        <f t="shared" si="8"/>
        <v>Not yet Postdated</v>
      </c>
      <c r="P76" s="18">
        <f t="shared" si="1"/>
        <v>46342</v>
      </c>
      <c r="Q76" s="17" t="s">
        <v>166</v>
      </c>
      <c r="R76" s="18"/>
      <c r="S76" s="17">
        <f t="shared" si="2"/>
        <v>46158</v>
      </c>
      <c r="T76" s="17">
        <v>46003</v>
      </c>
      <c r="U76" s="17">
        <f t="shared" si="3"/>
        <v>46069</v>
      </c>
      <c r="V76" s="17">
        <v>45996</v>
      </c>
      <c r="W76" s="13" t="s">
        <v>89</v>
      </c>
      <c r="X76" s="17" t="s">
        <v>75</v>
      </c>
      <c r="Y76" s="17"/>
      <c r="Z76" s="18"/>
      <c r="AA76" s="17" t="s">
        <v>75</v>
      </c>
      <c r="AB76" s="17" t="s">
        <v>75</v>
      </c>
      <c r="AC76" s="18" t="e">
        <f t="shared" si="9"/>
        <v>#VALUE!</v>
      </c>
      <c r="AD76" s="19" t="str">
        <f t="shared" si="4"/>
        <v>NA</v>
      </c>
      <c r="AE76" s="17" t="s">
        <v>75</v>
      </c>
      <c r="AF76" s="18" t="str">
        <f t="shared" si="10"/>
        <v>NA</v>
      </c>
      <c r="AG76" s="19" t="s">
        <v>75</v>
      </c>
      <c r="AH76" s="17"/>
      <c r="AI76" s="18" t="str">
        <f t="shared" si="11"/>
        <v>NA</v>
      </c>
      <c r="AJ76" s="17" t="s">
        <v>75</v>
      </c>
      <c r="AK76" s="17" t="s">
        <v>75</v>
      </c>
      <c r="AL76" s="17"/>
      <c r="AM76" s="17" t="s">
        <v>75</v>
      </c>
      <c r="AN76" s="17" t="s">
        <v>75</v>
      </c>
      <c r="AO76" s="17"/>
      <c r="AP76" s="17" t="s">
        <v>75</v>
      </c>
      <c r="AQ76" s="17" t="s">
        <v>75</v>
      </c>
      <c r="AR76" s="17" t="s">
        <v>75</v>
      </c>
      <c r="AS76" s="13" t="str">
        <f ca="1">IF(OR(S76=0, S76=""), "No F1 deadline to compare", IF(T76&gt;0, IF(T76&gt;S76, "Filed after " &amp; (T76-S76) &amp; " days of deadline", "Filed within deadline"), IF(TODAY()&gt;S76, "Delayed by " &amp; (TODAY()-S76) &amp; " days", (S76-TODAY()) &amp; " days left")))</f>
        <v>Filed within deadline</v>
      </c>
      <c r="AT76" s="21" t="str">
        <f ca="1">IF(OR(TRIM(U76)="", U76=0), "No F26 deadline to compare", IF(AND(TRIM(V76)&lt;&gt;"", ISNUMBER(V76)), IF(V76&gt;U76, "Filed after " &amp; (V76-U76) &amp; " days of deadline", "Filed within deadline"), IF(TODAY()&gt;U76, "Delayed by " &amp; (TODAY()-U76) &amp; " days", (U76-TODAY()) &amp; " days left")))</f>
        <v>Filed within deadline</v>
      </c>
      <c r="AU76" s="22"/>
      <c r="AV76" s="22"/>
      <c r="AW76" s="22"/>
      <c r="AX76" s="21"/>
      <c r="AY76" s="22"/>
      <c r="AZ76" s="22"/>
      <c r="BA76" s="22"/>
      <c r="BB76" s="21"/>
      <c r="BC76" s="21"/>
      <c r="BD76" s="21"/>
      <c r="BE76" s="21"/>
      <c r="BF76" s="21"/>
      <c r="BG76" s="21"/>
      <c r="BH76" s="13" t="str">
        <f>IF(AND(AP76&lt;&gt;"",ISNUMBER(AP76)),"Patent Refused",IF(AND(AN76&lt;&gt;"",ISNUMBER(AN76)),"Patent Granted",IF(AND(AM76&lt;&gt;"",ISNUMBER(AM76)),"WS Filed",IF(AND(AND(AK76&lt;&gt;"",ISNUMBER(AK76)),NOT(AND(AM76&lt;&gt;"",ISNUMBER(AM76)))),"Hearing Attended - WS Not Filed",IF(AND(AND(AJ76&lt;&gt;"",ISNUMBER(AJ76)),NOT(AND(AK76&lt;&gt;"",ISNUMBER(AK76)))),"Hearing Issued",IF(AND(AG76&lt;&gt;"",ISNUMBER(AG76)),"FER Reply Filed",IF(AND(AND(AE76&lt;&gt;"",ISNUMBER(AE76)),NOT(AND(AG76&lt;&gt;"",ISNUMBER(AG76)))),"FER Received - Reply Not Filed",IF(AND(AB76&lt;&gt;"",ISNUMBER(AB76)),"Published",IF(AND(AND(X76&lt;&gt;"",ISNUMBER(X76)),AND(AA76&lt;&gt;"",ISNUMBER(AA76))),"F9 &amp; F18 Filed",IF(AND(NOT(AND(X76&lt;&gt;"",ISNUMBER(X76))),AND(AA76&lt;&gt;"",ISNUMBER(AA76))),"F9 Not Filed - F18 Filed",IF(AND(AND(X76&lt;&gt;"",ISNUMBER(X76)),NOT(AND(AA76&lt;&gt;"",ISNUMBER(AA76)))),"F9 Filed - F18 Not Filed",IF(AND(NOT(AND(L76&lt;&gt;"",ISNUMBER(L76))),AND(Q76&lt;&gt;"",ISNUMBER(Q76)),NOT(AND(X76&lt;&gt;"",ISNUMBER(X76))),NOT(AND(AA76&lt;&gt;"",ISNUMBER(AA76)))),"Direct CS Filed - F9 &amp; F18 Not Filed",IF(AND(AND(L76&lt;&gt;"",ISNUMBER(L76)),AND(Q76&lt;&gt;"",ISNUMBER(Q76)),NOT(AND(X76&lt;&gt;"",ISNUMBER(X76))),NOT(AND(AA76&lt;&gt;"",ISNUMBER(AA76)))),"PS-CS Filed - F9 &amp; F18 Not Filed",IF(AND(AND(L76&lt;&gt;"",ISNUMBER(L76)),NOT(AND(Q76&lt;&gt;"",ISNUMBER(Q76)))),"PS Filed - CS Not Filed","Not Started"))))))))))))))</f>
        <v>PS Filed - CS Not Filed</v>
      </c>
      <c r="BI76" s="23"/>
      <c r="BJ76" s="31"/>
      <c r="BK76" s="31"/>
    </row>
    <row r="77" spans="1:63" ht="55.5">
      <c r="A77" s="13" t="s">
        <v>527</v>
      </c>
      <c r="B77" s="14" t="s">
        <v>505</v>
      </c>
      <c r="C77" s="13" t="s">
        <v>266</v>
      </c>
      <c r="D77" s="13" t="s">
        <v>67</v>
      </c>
      <c r="E77" s="15" t="s">
        <v>75</v>
      </c>
      <c r="F77" s="13" t="s">
        <v>75</v>
      </c>
      <c r="G77" s="13"/>
      <c r="H77" s="13"/>
      <c r="I77" s="13" t="s">
        <v>492</v>
      </c>
      <c r="J77" s="13" t="s">
        <v>75</v>
      </c>
      <c r="K77" s="13" t="s">
        <v>75</v>
      </c>
      <c r="L77" s="17" t="s">
        <v>75</v>
      </c>
      <c r="M77" s="18"/>
      <c r="N77" s="18"/>
      <c r="O77" s="18" t="str">
        <f t="shared" si="8"/>
        <v>PS Not yet filed</v>
      </c>
      <c r="P77" s="18" t="str">
        <f t="shared" si="1"/>
        <v/>
      </c>
      <c r="Q77" s="17" t="s">
        <v>75</v>
      </c>
      <c r="R77" s="18"/>
      <c r="S77" s="17" t="str">
        <f t="shared" si="2"/>
        <v>NA</v>
      </c>
      <c r="T77" s="17"/>
      <c r="U77" s="17" t="str">
        <f t="shared" si="3"/>
        <v>NA</v>
      </c>
      <c r="V77" s="17" t="s">
        <v>423</v>
      </c>
      <c r="W77" s="13" t="s">
        <v>108</v>
      </c>
      <c r="X77" s="17" t="s">
        <v>75</v>
      </c>
      <c r="Y77" s="17"/>
      <c r="Z77" s="18"/>
      <c r="AA77" s="17" t="s">
        <v>75</v>
      </c>
      <c r="AB77" s="17" t="s">
        <v>75</v>
      </c>
      <c r="AC77" s="18" t="e">
        <f t="shared" si="9"/>
        <v>#VALUE!</v>
      </c>
      <c r="AD77" s="19" t="str">
        <f t="shared" si="4"/>
        <v>NA</v>
      </c>
      <c r="AE77" s="17" t="s">
        <v>75</v>
      </c>
      <c r="AF77" s="18" t="str">
        <f t="shared" si="10"/>
        <v>NA</v>
      </c>
      <c r="AG77" s="19" t="s">
        <v>75</v>
      </c>
      <c r="AH77" s="17"/>
      <c r="AI77" s="18" t="str">
        <f t="shared" si="11"/>
        <v>NA</v>
      </c>
      <c r="AJ77" s="17" t="s">
        <v>75</v>
      </c>
      <c r="AK77" s="17" t="s">
        <v>75</v>
      </c>
      <c r="AL77" s="17"/>
      <c r="AM77" s="17" t="s">
        <v>75</v>
      </c>
      <c r="AN77" s="17" t="s">
        <v>75</v>
      </c>
      <c r="AO77" s="17"/>
      <c r="AP77" s="17" t="s">
        <v>75</v>
      </c>
      <c r="AQ77" s="17" t="s">
        <v>75</v>
      </c>
      <c r="AR77" s="17" t="s">
        <v>75</v>
      </c>
      <c r="AS77" s="13" t="e">
        <f ca="1">IF(OR(S77=0, S77=""), "No F1 deadline to compare", IF(T77&gt;0, IF(T77&gt;S77, "Filed after " &amp; (T77-S77) &amp; " days of deadline", "Filed within deadline"), IF(TODAY()&gt;S77, "Delayed by " &amp; (TODAY()-S77) &amp; " days", (S77-TODAY()) &amp; " days left")))</f>
        <v>#VALUE!</v>
      </c>
      <c r="AT77" s="21" t="e">
        <f ca="1">IF(OR(TRIM(U77)="", U77=0), "No F26 deadline to compare", IF(AND(TRIM(V77)&lt;&gt;"", ISNUMBER(V77)), IF(V77&gt;U77, "Filed after " &amp; (V77-U77) &amp; " days of deadline", "Filed within deadline"), IF(TODAY()&gt;U77, "Delayed by " &amp; (TODAY()-U77) &amp; " days", (U77-TODAY()) &amp; " days left")))</f>
        <v>#VALUE!</v>
      </c>
      <c r="AU77" s="22"/>
      <c r="AV77" s="22"/>
      <c r="AW77" s="22"/>
      <c r="AX77" s="21"/>
      <c r="AY77" s="22"/>
      <c r="AZ77" s="22"/>
      <c r="BA77" s="22"/>
      <c r="BB77" s="21"/>
      <c r="BC77" s="21"/>
      <c r="BD77" s="21"/>
      <c r="BE77" s="21"/>
      <c r="BF77" s="21"/>
      <c r="BG77" s="21"/>
      <c r="BH77" s="13" t="str">
        <f>IF(AND(AP77&lt;&gt;"",ISNUMBER(AP77)),"Patent Refused",IF(AND(AN77&lt;&gt;"",ISNUMBER(AN77)),"Patent Granted",IF(AND(AM77&lt;&gt;"",ISNUMBER(AM77)),"WS Filed",IF(AND(AND(AK77&lt;&gt;"",ISNUMBER(AK77)),NOT(AND(AM77&lt;&gt;"",ISNUMBER(AM77)))),"Hearing Attended - WS Not Filed",IF(AND(AND(AJ77&lt;&gt;"",ISNUMBER(AJ77)),NOT(AND(AK77&lt;&gt;"",ISNUMBER(AK77)))),"Hearing Issued",IF(AND(AG77&lt;&gt;"",ISNUMBER(AG77)),"FER Reply Filed",IF(AND(AND(AE77&lt;&gt;"",ISNUMBER(AE77)),NOT(AND(AG77&lt;&gt;"",ISNUMBER(AG77)))),"FER Received - Reply Not Filed",IF(AND(AB77&lt;&gt;"",ISNUMBER(AB77)),"Published",IF(AND(AND(X77&lt;&gt;"",ISNUMBER(X77)),AND(AA77&lt;&gt;"",ISNUMBER(AA77))),"F9 &amp; F18 Filed",IF(AND(NOT(AND(X77&lt;&gt;"",ISNUMBER(X77))),AND(AA77&lt;&gt;"",ISNUMBER(AA77))),"F9 Not Filed - F18 Filed",IF(AND(AND(X77&lt;&gt;"",ISNUMBER(X77)),NOT(AND(AA77&lt;&gt;"",ISNUMBER(AA77)))),"F9 Filed - F18 Not Filed",IF(AND(NOT(AND(L77&lt;&gt;"",ISNUMBER(L77))),AND(Q77&lt;&gt;"",ISNUMBER(Q77)),NOT(AND(X77&lt;&gt;"",ISNUMBER(X77))),NOT(AND(AA77&lt;&gt;"",ISNUMBER(AA77)))),"Direct CS Filed - F9 &amp; F18 Not Filed",IF(AND(AND(L77&lt;&gt;"",ISNUMBER(L77)),AND(Q77&lt;&gt;"",ISNUMBER(Q77)),NOT(AND(X77&lt;&gt;"",ISNUMBER(X77))),NOT(AND(AA77&lt;&gt;"",ISNUMBER(AA77)))),"PS-CS Filed - F9 &amp; F18 Not Filed",IF(AND(AND(L77&lt;&gt;"",ISNUMBER(L77)),NOT(AND(Q77&lt;&gt;"",ISNUMBER(Q77)))),"PS Filed - CS Not Filed","Not Started"))))))))))))))</f>
        <v>Not Started</v>
      </c>
      <c r="BI77" s="23"/>
      <c r="BJ77" s="31"/>
      <c r="BK77" s="31"/>
    </row>
    <row r="78" spans="1:63" ht="55.5">
      <c r="A78" s="13" t="s">
        <v>528</v>
      </c>
      <c r="B78" s="14" t="s">
        <v>505</v>
      </c>
      <c r="C78" s="13" t="s">
        <v>266</v>
      </c>
      <c r="D78" s="13" t="s">
        <v>67</v>
      </c>
      <c r="E78" s="15" t="s">
        <v>75</v>
      </c>
      <c r="F78" s="13" t="s">
        <v>75</v>
      </c>
      <c r="G78" s="13"/>
      <c r="H78" s="13"/>
      <c r="I78" s="13" t="s">
        <v>529</v>
      </c>
      <c r="J78" s="13" t="s">
        <v>75</v>
      </c>
      <c r="K78" s="13" t="s">
        <v>75</v>
      </c>
      <c r="L78" s="17" t="s">
        <v>75</v>
      </c>
      <c r="M78" s="18"/>
      <c r="N78" s="18"/>
      <c r="O78" s="18" t="str">
        <f t="shared" si="8"/>
        <v>PS Not yet filed</v>
      </c>
      <c r="P78" s="18" t="str">
        <f t="shared" si="1"/>
        <v/>
      </c>
      <c r="Q78" s="17" t="s">
        <v>75</v>
      </c>
      <c r="R78" s="18"/>
      <c r="S78" s="17" t="str">
        <f t="shared" si="2"/>
        <v>NA</v>
      </c>
      <c r="T78" s="17"/>
      <c r="U78" s="17" t="str">
        <f t="shared" si="3"/>
        <v>NA</v>
      </c>
      <c r="V78" s="17" t="s">
        <v>423</v>
      </c>
      <c r="W78" s="13" t="s">
        <v>108</v>
      </c>
      <c r="X78" s="17" t="s">
        <v>75</v>
      </c>
      <c r="Y78" s="17"/>
      <c r="Z78" s="18"/>
      <c r="AA78" s="17" t="s">
        <v>75</v>
      </c>
      <c r="AB78" s="17" t="s">
        <v>75</v>
      </c>
      <c r="AC78" s="18" t="e">
        <f t="shared" si="9"/>
        <v>#VALUE!</v>
      </c>
      <c r="AD78" s="19" t="str">
        <f t="shared" si="4"/>
        <v>NA</v>
      </c>
      <c r="AE78" s="17" t="s">
        <v>75</v>
      </c>
      <c r="AF78" s="18" t="str">
        <f t="shared" si="10"/>
        <v>NA</v>
      </c>
      <c r="AG78" s="19" t="s">
        <v>75</v>
      </c>
      <c r="AH78" s="17"/>
      <c r="AI78" s="18" t="str">
        <f t="shared" si="11"/>
        <v>NA</v>
      </c>
      <c r="AJ78" s="17" t="s">
        <v>75</v>
      </c>
      <c r="AK78" s="17" t="s">
        <v>75</v>
      </c>
      <c r="AL78" s="17"/>
      <c r="AM78" s="17" t="s">
        <v>75</v>
      </c>
      <c r="AN78" s="17" t="s">
        <v>75</v>
      </c>
      <c r="AO78" s="17"/>
      <c r="AP78" s="17" t="s">
        <v>75</v>
      </c>
      <c r="AQ78" s="17" t="s">
        <v>75</v>
      </c>
      <c r="AR78" s="17" t="s">
        <v>75</v>
      </c>
      <c r="AS78" s="13" t="e">
        <f ca="1">IF(OR(S78=0, S78=""), "No F1 deadline to compare", IF(T78&gt;0, IF(T78&gt;S78, "Filed after " &amp; (T78-S78) &amp; " days of deadline", "Filed within deadline"), IF(TODAY()&gt;S78, "Delayed by " &amp; (TODAY()-S78) &amp; " days", (S78-TODAY()) &amp; " days left")))</f>
        <v>#VALUE!</v>
      </c>
      <c r="AT78" s="21" t="e">
        <f ca="1">IF(OR(TRIM(U78)="", U78=0), "No F26 deadline to compare", IF(AND(TRIM(V78)&lt;&gt;"", ISNUMBER(V78)), IF(V78&gt;U78, "Filed after " &amp; (V78-U78) &amp; " days of deadline", "Filed within deadline"), IF(TODAY()&gt;U78, "Delayed by " &amp; (TODAY()-U78) &amp; " days", (U78-TODAY()) &amp; " days left")))</f>
        <v>#VALUE!</v>
      </c>
      <c r="AU78" s="22"/>
      <c r="AV78" s="22"/>
      <c r="AW78" s="22"/>
      <c r="AX78" s="21"/>
      <c r="AY78" s="22"/>
      <c r="AZ78" s="22"/>
      <c r="BA78" s="22"/>
      <c r="BB78" s="21"/>
      <c r="BC78" s="21"/>
      <c r="BD78" s="21"/>
      <c r="BE78" s="21"/>
      <c r="BF78" s="21"/>
      <c r="BG78" s="21"/>
      <c r="BH78" s="13" t="str">
        <f>IF(AND(AP78&lt;&gt;"",ISNUMBER(AP78)),"Patent Refused",IF(AND(AN78&lt;&gt;"",ISNUMBER(AN78)),"Patent Granted",IF(AND(AM78&lt;&gt;"",ISNUMBER(AM78)),"WS Filed",IF(AND(AND(AK78&lt;&gt;"",ISNUMBER(AK78)),NOT(AND(AM78&lt;&gt;"",ISNUMBER(AM78)))),"Hearing Attended - WS Not Filed",IF(AND(AND(AJ78&lt;&gt;"",ISNUMBER(AJ78)),NOT(AND(AK78&lt;&gt;"",ISNUMBER(AK78)))),"Hearing Issued",IF(AND(AG78&lt;&gt;"",ISNUMBER(AG78)),"FER Reply Filed",IF(AND(AND(AE78&lt;&gt;"",ISNUMBER(AE78)),NOT(AND(AG78&lt;&gt;"",ISNUMBER(AG78)))),"FER Received - Reply Not Filed",IF(AND(AB78&lt;&gt;"",ISNUMBER(AB78)),"Published",IF(AND(AND(X78&lt;&gt;"",ISNUMBER(X78)),AND(AA78&lt;&gt;"",ISNUMBER(AA78))),"F9 &amp; F18 Filed",IF(AND(NOT(AND(X78&lt;&gt;"",ISNUMBER(X78))),AND(AA78&lt;&gt;"",ISNUMBER(AA78))),"F9 Not Filed - F18 Filed",IF(AND(AND(X78&lt;&gt;"",ISNUMBER(X78)),NOT(AND(AA78&lt;&gt;"",ISNUMBER(AA78)))),"F9 Filed - F18 Not Filed",IF(AND(NOT(AND(L78&lt;&gt;"",ISNUMBER(L78))),AND(Q78&lt;&gt;"",ISNUMBER(Q78)),NOT(AND(X78&lt;&gt;"",ISNUMBER(X78))),NOT(AND(AA78&lt;&gt;"",ISNUMBER(AA78)))),"Direct CS Filed - F9 &amp; F18 Not Filed",IF(AND(AND(L78&lt;&gt;"",ISNUMBER(L78)),AND(Q78&lt;&gt;"",ISNUMBER(Q78)),NOT(AND(X78&lt;&gt;"",ISNUMBER(X78))),NOT(AND(AA78&lt;&gt;"",ISNUMBER(AA78)))),"PS-CS Filed - F9 &amp; F18 Not Filed",IF(AND(AND(L78&lt;&gt;"",ISNUMBER(L78)),NOT(AND(Q78&lt;&gt;"",ISNUMBER(Q78)))),"PS Filed - CS Not Filed","Not Started"))))))))))))))</f>
        <v>Not Started</v>
      </c>
      <c r="BI78" s="23"/>
      <c r="BJ78" s="31"/>
      <c r="BK78" s="31"/>
    </row>
    <row r="79" spans="1:63" ht="55.5">
      <c r="A79" s="13" t="s">
        <v>530</v>
      </c>
      <c r="B79" s="14" t="s">
        <v>505</v>
      </c>
      <c r="C79" s="13" t="s">
        <v>266</v>
      </c>
      <c r="D79" s="13" t="s">
        <v>67</v>
      </c>
      <c r="E79" s="15" t="s">
        <v>75</v>
      </c>
      <c r="F79" s="13" t="s">
        <v>75</v>
      </c>
      <c r="G79" s="13"/>
      <c r="H79" s="13"/>
      <c r="I79" s="13" t="s">
        <v>531</v>
      </c>
      <c r="J79" s="13" t="s">
        <v>75</v>
      </c>
      <c r="K79" s="13" t="s">
        <v>75</v>
      </c>
      <c r="L79" s="17" t="s">
        <v>75</v>
      </c>
      <c r="M79" s="18"/>
      <c r="N79" s="18"/>
      <c r="O79" s="18" t="str">
        <f t="shared" si="8"/>
        <v>PS Not yet filed</v>
      </c>
      <c r="P79" s="18" t="str">
        <f t="shared" si="1"/>
        <v/>
      </c>
      <c r="Q79" s="17" t="s">
        <v>75</v>
      </c>
      <c r="R79" s="18"/>
      <c r="S79" s="17" t="str">
        <f t="shared" si="2"/>
        <v>NA</v>
      </c>
      <c r="T79" s="17"/>
      <c r="U79" s="17" t="str">
        <f t="shared" si="3"/>
        <v>NA</v>
      </c>
      <c r="V79" s="17" t="s">
        <v>423</v>
      </c>
      <c r="W79" s="13" t="s">
        <v>108</v>
      </c>
      <c r="X79" s="17" t="s">
        <v>75</v>
      </c>
      <c r="Y79" s="17"/>
      <c r="Z79" s="18"/>
      <c r="AA79" s="17" t="s">
        <v>75</v>
      </c>
      <c r="AB79" s="17" t="s">
        <v>75</v>
      </c>
      <c r="AC79" s="18" t="e">
        <f t="shared" si="9"/>
        <v>#VALUE!</v>
      </c>
      <c r="AD79" s="19" t="str">
        <f t="shared" si="4"/>
        <v>NA</v>
      </c>
      <c r="AE79" s="17" t="s">
        <v>75</v>
      </c>
      <c r="AF79" s="18" t="str">
        <f t="shared" si="10"/>
        <v>NA</v>
      </c>
      <c r="AG79" s="19" t="s">
        <v>75</v>
      </c>
      <c r="AH79" s="17"/>
      <c r="AI79" s="18" t="str">
        <f t="shared" si="11"/>
        <v>NA</v>
      </c>
      <c r="AJ79" s="17" t="s">
        <v>75</v>
      </c>
      <c r="AK79" s="17" t="s">
        <v>75</v>
      </c>
      <c r="AL79" s="17"/>
      <c r="AM79" s="17" t="s">
        <v>75</v>
      </c>
      <c r="AN79" s="17" t="s">
        <v>75</v>
      </c>
      <c r="AO79" s="17"/>
      <c r="AP79" s="17" t="s">
        <v>75</v>
      </c>
      <c r="AQ79" s="17" t="s">
        <v>75</v>
      </c>
      <c r="AR79" s="17" t="s">
        <v>75</v>
      </c>
      <c r="AS79" s="13" t="e">
        <f ca="1">IF(OR(S79=0, S79=""), "No F1 deadline to compare", IF(T79&gt;0, IF(T79&gt;S79, "Filed after " &amp; (T79-S79) &amp; " days of deadline", "Filed within deadline"), IF(TODAY()&gt;S79, "Delayed by " &amp; (TODAY()-S79) &amp; " days", (S79-TODAY()) &amp; " days left")))</f>
        <v>#VALUE!</v>
      </c>
      <c r="AT79" s="21" t="e">
        <f ca="1">IF(OR(TRIM(U79)="", U79=0), "No F26 deadline to compare", IF(AND(TRIM(V79)&lt;&gt;"", ISNUMBER(V79)), IF(V79&gt;U79, "Filed after " &amp; (V79-U79) &amp; " days of deadline", "Filed within deadline"), IF(TODAY()&gt;U79, "Delayed by " &amp; (TODAY()-U79) &amp; " days", (U79-TODAY()) &amp; " days left")))</f>
        <v>#VALUE!</v>
      </c>
      <c r="AU79" s="22"/>
      <c r="AV79" s="22"/>
      <c r="AW79" s="22"/>
      <c r="AX79" s="21"/>
      <c r="AY79" s="22"/>
      <c r="AZ79" s="22"/>
      <c r="BA79" s="22"/>
      <c r="BB79" s="21"/>
      <c r="BC79" s="21"/>
      <c r="BD79" s="21"/>
      <c r="BE79" s="21"/>
      <c r="BF79" s="21"/>
      <c r="BG79" s="21"/>
      <c r="BH79" s="13" t="str">
        <f>IF(AND(AP79&lt;&gt;"",ISNUMBER(AP79)),"Patent Refused",IF(AND(AN79&lt;&gt;"",ISNUMBER(AN79)),"Patent Granted",IF(AND(AM79&lt;&gt;"",ISNUMBER(AM79)),"WS Filed",IF(AND(AND(AK79&lt;&gt;"",ISNUMBER(AK79)),NOT(AND(AM79&lt;&gt;"",ISNUMBER(AM79)))),"Hearing Attended - WS Not Filed",IF(AND(AND(AJ79&lt;&gt;"",ISNUMBER(AJ79)),NOT(AND(AK79&lt;&gt;"",ISNUMBER(AK79)))),"Hearing Issued",IF(AND(AG79&lt;&gt;"",ISNUMBER(AG79)),"FER Reply Filed",IF(AND(AND(AE79&lt;&gt;"",ISNUMBER(AE79)),NOT(AND(AG79&lt;&gt;"",ISNUMBER(AG79)))),"FER Received - Reply Not Filed",IF(AND(AB79&lt;&gt;"",ISNUMBER(AB79)),"Published",IF(AND(AND(X79&lt;&gt;"",ISNUMBER(X79)),AND(AA79&lt;&gt;"",ISNUMBER(AA79))),"F9 &amp; F18 Filed",IF(AND(NOT(AND(X79&lt;&gt;"",ISNUMBER(X79))),AND(AA79&lt;&gt;"",ISNUMBER(AA79))),"F9 Not Filed - F18 Filed",IF(AND(AND(X79&lt;&gt;"",ISNUMBER(X79)),NOT(AND(AA79&lt;&gt;"",ISNUMBER(AA79)))),"F9 Filed - F18 Not Filed",IF(AND(NOT(AND(L79&lt;&gt;"",ISNUMBER(L79))),AND(Q79&lt;&gt;"",ISNUMBER(Q79)),NOT(AND(X79&lt;&gt;"",ISNUMBER(X79))),NOT(AND(AA79&lt;&gt;"",ISNUMBER(AA79)))),"Direct CS Filed - F9 &amp; F18 Not Filed",IF(AND(AND(L79&lt;&gt;"",ISNUMBER(L79)),AND(Q79&lt;&gt;"",ISNUMBER(Q79)),NOT(AND(X79&lt;&gt;"",ISNUMBER(X79))),NOT(AND(AA79&lt;&gt;"",ISNUMBER(AA79)))),"PS-CS Filed - F9 &amp; F18 Not Filed",IF(AND(AND(L79&lt;&gt;"",ISNUMBER(L79)),NOT(AND(Q79&lt;&gt;"",ISNUMBER(Q79)))),"PS Filed - CS Not Filed","Not Started"))))))))))))))</f>
        <v>Not Started</v>
      </c>
      <c r="BI79" s="23"/>
      <c r="BJ79" s="31"/>
      <c r="BK79" s="31"/>
    </row>
    <row r="80" spans="1:63" ht="180.4">
      <c r="A80" s="13" t="s">
        <v>447</v>
      </c>
      <c r="B80" s="14" t="s">
        <v>448</v>
      </c>
      <c r="C80" s="13" t="s">
        <v>96</v>
      </c>
      <c r="D80" s="13" t="s">
        <v>67</v>
      </c>
      <c r="E80" s="15" t="s">
        <v>532</v>
      </c>
      <c r="F80" s="13" t="s">
        <v>449</v>
      </c>
      <c r="G80" s="13" t="s">
        <v>450</v>
      </c>
      <c r="H80" s="13" t="s">
        <v>451</v>
      </c>
      <c r="I80" s="13" t="s">
        <v>452</v>
      </c>
      <c r="J80" s="13" t="s">
        <v>75</v>
      </c>
      <c r="K80" s="13">
        <v>202541000348</v>
      </c>
      <c r="L80" s="17">
        <v>45659</v>
      </c>
      <c r="M80" s="18"/>
      <c r="N80" s="18"/>
      <c r="O80" s="18" t="str">
        <f t="shared" si="8"/>
        <v>Not yet Postdated</v>
      </c>
      <c r="P80" s="18">
        <f t="shared" si="1"/>
        <v>46024</v>
      </c>
      <c r="Q80" s="17">
        <v>45801</v>
      </c>
      <c r="R80" s="18"/>
      <c r="S80" s="17">
        <f t="shared" si="2"/>
        <v>45840</v>
      </c>
      <c r="T80" s="17">
        <v>45667</v>
      </c>
      <c r="U80" s="17">
        <f t="shared" si="3"/>
        <v>45749</v>
      </c>
      <c r="V80" s="17">
        <v>45755</v>
      </c>
      <c r="W80" s="13" t="s">
        <v>89</v>
      </c>
      <c r="X80" s="17">
        <v>45824</v>
      </c>
      <c r="Y80" s="17"/>
      <c r="Z80" s="18"/>
      <c r="AA80" s="17" t="s">
        <v>75</v>
      </c>
      <c r="AB80" s="17">
        <v>45828</v>
      </c>
      <c r="AC80" s="18" t="e">
        <f t="shared" si="9"/>
        <v>#VALUE!</v>
      </c>
      <c r="AD80" s="19" t="str">
        <f t="shared" si="4"/>
        <v>25/2025</v>
      </c>
      <c r="AE80" s="17" t="s">
        <v>75</v>
      </c>
      <c r="AF80" s="18" t="str">
        <f t="shared" si="10"/>
        <v>NA</v>
      </c>
      <c r="AG80" s="19" t="s">
        <v>75</v>
      </c>
      <c r="AH80" s="17"/>
      <c r="AI80" s="18" t="str">
        <f t="shared" si="11"/>
        <v>NA</v>
      </c>
      <c r="AJ80" s="17" t="s">
        <v>75</v>
      </c>
      <c r="AK80" s="17" t="s">
        <v>75</v>
      </c>
      <c r="AL80" s="17"/>
      <c r="AM80" s="17" t="s">
        <v>75</v>
      </c>
      <c r="AN80" s="17" t="s">
        <v>75</v>
      </c>
      <c r="AO80" s="17"/>
      <c r="AP80" s="17" t="s">
        <v>75</v>
      </c>
      <c r="AQ80" s="17" t="s">
        <v>75</v>
      </c>
      <c r="AR80" s="17" t="s">
        <v>75</v>
      </c>
      <c r="AS80" s="13" t="str">
        <f ca="1">IF(OR(S80=0, S80=""), "No F1 deadline to compare", IF(T80&gt;0, IF(T80&gt;S80, "Filed after " &amp; (T80-S80) &amp; " days of deadline", "Filed within deadline"), IF(TODAY()&gt;S80, "Delayed by " &amp; (TODAY()-S80) &amp; " days", (S80-TODAY()) &amp; " days left")))</f>
        <v>Filed within deadline</v>
      </c>
      <c r="AT80" s="21" t="str">
        <f ca="1">IF(OR(TRIM(U80)="", U80=0), "No F26 deadline to compare", IF(AND(TRIM(V80)&lt;&gt;"", ISNUMBER(V80)), IF(V80&gt;U80, "Filed after " &amp; (V80-U80) &amp; " days of deadline", "Filed within deadline"), IF(TODAY()&gt;U80, "Delayed by " &amp; (TODAY()-U80) &amp; " days", (U80-TODAY()) &amp; " days left")))</f>
        <v>Filed after 6 days of deadline</v>
      </c>
      <c r="AU80" s="22"/>
      <c r="AV80" s="22"/>
      <c r="AW80" s="22"/>
      <c r="AX80" s="21"/>
      <c r="AY80" s="22"/>
      <c r="AZ80" s="22"/>
      <c r="BA80" s="22"/>
      <c r="BB80" s="21"/>
      <c r="BC80" s="21"/>
      <c r="BD80" s="21"/>
      <c r="BE80" s="21"/>
      <c r="BF80" s="21"/>
      <c r="BG80" s="21"/>
      <c r="BH80" s="13" t="str">
        <f>IF(AND(AP80&lt;&gt;"",ISNUMBER(AP80)),"Patent Refused",IF(AND(AN80&lt;&gt;"",ISNUMBER(AN80)),"Patent Granted",IF(AND(AM80&lt;&gt;"",ISNUMBER(AM80)),"WS Filed",IF(AND(AND(AK80&lt;&gt;"",ISNUMBER(AK80)),NOT(AND(AM80&lt;&gt;"",ISNUMBER(AM80)))),"Hearing Attended - WS Not Filed",IF(AND(AND(AJ80&lt;&gt;"",ISNUMBER(AJ80)),NOT(AND(AK80&lt;&gt;"",ISNUMBER(AK80)))),"Hearing Issued",IF(AND(AG80&lt;&gt;"",ISNUMBER(AG80)),"FER Reply Filed",IF(AND(AND(AE80&lt;&gt;"",ISNUMBER(AE80)),NOT(AND(AG80&lt;&gt;"",ISNUMBER(AG80)))),"FER Received - Reply Not Filed",IF(AND(AB80&lt;&gt;"",ISNUMBER(AB80)),"Published",IF(AND(AND(X80&lt;&gt;"",ISNUMBER(X80)),AND(AA80&lt;&gt;"",ISNUMBER(AA80))),"F9 &amp; F18 Filed",IF(AND(NOT(AND(X80&lt;&gt;"",ISNUMBER(X80))),AND(AA80&lt;&gt;"",ISNUMBER(AA80))),"F9 Not Filed - F18 Filed",IF(AND(AND(X80&lt;&gt;"",ISNUMBER(X80)),NOT(AND(AA80&lt;&gt;"",ISNUMBER(AA80)))),"F9 Filed - F18 Not Filed",IF(AND(NOT(AND(L80&lt;&gt;"",ISNUMBER(L80))),AND(Q80&lt;&gt;"",ISNUMBER(Q80)),NOT(AND(X80&lt;&gt;"",ISNUMBER(X80))),NOT(AND(AA80&lt;&gt;"",ISNUMBER(AA80)))),"Direct CS Filed - F9 &amp; F18 Not Filed",IF(AND(AND(L80&lt;&gt;"",ISNUMBER(L80)),AND(Q80&lt;&gt;"",ISNUMBER(Q80)),NOT(AND(X80&lt;&gt;"",ISNUMBER(X80))),NOT(AND(AA80&lt;&gt;"",ISNUMBER(AA80)))),"PS-CS Filed - F9 &amp; F18 Not Filed",IF(AND(AND(L80&lt;&gt;"",ISNUMBER(L80)),NOT(AND(Q80&lt;&gt;"",ISNUMBER(Q80)))),"PS Filed - CS Not Filed","Not Started"))))))))))))))</f>
        <v>Published</v>
      </c>
      <c r="BI80" s="23"/>
      <c r="BJ80" s="31"/>
      <c r="BK80" s="31"/>
    </row>
    <row r="81" spans="1:63" ht="41.65">
      <c r="A81" s="13" t="s">
        <v>533</v>
      </c>
      <c r="B81" s="14" t="s">
        <v>505</v>
      </c>
      <c r="C81" s="13" t="s">
        <v>96</v>
      </c>
      <c r="D81" s="13" t="s">
        <v>67</v>
      </c>
      <c r="E81" s="15" t="s">
        <v>75</v>
      </c>
      <c r="F81" s="13" t="s">
        <v>75</v>
      </c>
      <c r="G81" s="13"/>
      <c r="H81" s="13"/>
      <c r="I81" s="13" t="s">
        <v>534</v>
      </c>
      <c r="J81" s="13" t="s">
        <v>75</v>
      </c>
      <c r="K81" s="13" t="s">
        <v>75</v>
      </c>
      <c r="L81" s="17" t="s">
        <v>75</v>
      </c>
      <c r="M81" s="18"/>
      <c r="N81" s="18"/>
      <c r="O81" s="18" t="str">
        <f t="shared" si="8"/>
        <v>PS Not yet filed</v>
      </c>
      <c r="P81" s="18" t="str">
        <f t="shared" si="1"/>
        <v/>
      </c>
      <c r="Q81" s="17" t="s">
        <v>75</v>
      </c>
      <c r="R81" s="18"/>
      <c r="S81" s="17" t="str">
        <f t="shared" si="2"/>
        <v>NA</v>
      </c>
      <c r="T81" s="17"/>
      <c r="U81" s="17" t="str">
        <f t="shared" si="3"/>
        <v>NA</v>
      </c>
      <c r="V81" s="17" t="s">
        <v>423</v>
      </c>
      <c r="W81" s="13" t="s">
        <v>89</v>
      </c>
      <c r="X81" s="17" t="s">
        <v>75</v>
      </c>
      <c r="Y81" s="17"/>
      <c r="Z81" s="18"/>
      <c r="AA81" s="17" t="s">
        <v>75</v>
      </c>
      <c r="AB81" s="17" t="s">
        <v>75</v>
      </c>
      <c r="AC81" s="18" t="e">
        <f t="shared" si="9"/>
        <v>#VALUE!</v>
      </c>
      <c r="AD81" s="19" t="str">
        <f t="shared" si="4"/>
        <v>NA</v>
      </c>
      <c r="AE81" s="17" t="s">
        <v>75</v>
      </c>
      <c r="AF81" s="18" t="str">
        <f t="shared" si="10"/>
        <v>NA</v>
      </c>
      <c r="AG81" s="19" t="s">
        <v>75</v>
      </c>
      <c r="AH81" s="17"/>
      <c r="AI81" s="18" t="str">
        <f t="shared" si="11"/>
        <v>NA</v>
      </c>
      <c r="AJ81" s="17" t="s">
        <v>75</v>
      </c>
      <c r="AK81" s="17" t="s">
        <v>75</v>
      </c>
      <c r="AL81" s="17"/>
      <c r="AM81" s="17" t="s">
        <v>75</v>
      </c>
      <c r="AN81" s="17" t="s">
        <v>75</v>
      </c>
      <c r="AO81" s="17"/>
      <c r="AP81" s="17" t="s">
        <v>75</v>
      </c>
      <c r="AQ81" s="17" t="s">
        <v>75</v>
      </c>
      <c r="AR81" s="17" t="s">
        <v>75</v>
      </c>
      <c r="AS81" s="13" t="e">
        <f ca="1">IF(OR(S81=0, S81=""), "No F1 deadline to compare", IF(T81&gt;0, IF(T81&gt;S81, "Filed after " &amp; (T81-S81) &amp; " days of deadline", "Filed within deadline"), IF(TODAY()&gt;S81, "Delayed by " &amp; (TODAY()-S81) &amp; " days", (S81-TODAY()) &amp; " days left")))</f>
        <v>#VALUE!</v>
      </c>
      <c r="AT81" s="21" t="e">
        <f ca="1">IF(OR(TRIM(U81)="", U81=0), "No F26 deadline to compare", IF(AND(TRIM(V81)&lt;&gt;"", ISNUMBER(V81)), IF(V81&gt;U81, "Filed after " &amp; (V81-U81) &amp; " days of deadline", "Filed within deadline"), IF(TODAY()&gt;U81, "Delayed by " &amp; (TODAY()-U81) &amp; " days", (U81-TODAY()) &amp; " days left")))</f>
        <v>#VALUE!</v>
      </c>
      <c r="AU81" s="22"/>
      <c r="AV81" s="22"/>
      <c r="AW81" s="22"/>
      <c r="AX81" s="21"/>
      <c r="AY81" s="22"/>
      <c r="AZ81" s="22"/>
      <c r="BA81" s="22"/>
      <c r="BB81" s="21"/>
      <c r="BC81" s="21"/>
      <c r="BD81" s="21"/>
      <c r="BE81" s="21"/>
      <c r="BF81" s="21"/>
      <c r="BG81" s="21"/>
      <c r="BH81" s="13" t="str">
        <f>IF(AND(AP81&lt;&gt;"",ISNUMBER(AP81)),"Patent Refused",IF(AND(AN81&lt;&gt;"",ISNUMBER(AN81)),"Patent Granted",IF(AND(AM81&lt;&gt;"",ISNUMBER(AM81)),"WS Filed",IF(AND(AND(AK81&lt;&gt;"",ISNUMBER(AK81)),NOT(AND(AM81&lt;&gt;"",ISNUMBER(AM81)))),"Hearing Attended - WS Not Filed",IF(AND(AND(AJ81&lt;&gt;"",ISNUMBER(AJ81)),NOT(AND(AK81&lt;&gt;"",ISNUMBER(AK81)))),"Hearing Issued",IF(AND(AG81&lt;&gt;"",ISNUMBER(AG81)),"FER Reply Filed",IF(AND(AND(AE81&lt;&gt;"",ISNUMBER(AE81)),NOT(AND(AG81&lt;&gt;"",ISNUMBER(AG81)))),"FER Received - Reply Not Filed",IF(AND(AB81&lt;&gt;"",ISNUMBER(AB81)),"Published",IF(AND(AND(X81&lt;&gt;"",ISNUMBER(X81)),AND(AA81&lt;&gt;"",ISNUMBER(AA81))),"F9 &amp; F18 Filed",IF(AND(NOT(AND(X81&lt;&gt;"",ISNUMBER(X81))),AND(AA81&lt;&gt;"",ISNUMBER(AA81))),"F9 Not Filed - F18 Filed",IF(AND(AND(X81&lt;&gt;"",ISNUMBER(X81)),NOT(AND(AA81&lt;&gt;"",ISNUMBER(AA81)))),"F9 Filed - F18 Not Filed",IF(AND(NOT(AND(L81&lt;&gt;"",ISNUMBER(L81))),AND(Q81&lt;&gt;"",ISNUMBER(Q81)),NOT(AND(X81&lt;&gt;"",ISNUMBER(X81))),NOT(AND(AA81&lt;&gt;"",ISNUMBER(AA81)))),"Direct CS Filed - F9 &amp; F18 Not Filed",IF(AND(AND(L81&lt;&gt;"",ISNUMBER(L81)),AND(Q81&lt;&gt;"",ISNUMBER(Q81)),NOT(AND(X81&lt;&gt;"",ISNUMBER(X81))),NOT(AND(AA81&lt;&gt;"",ISNUMBER(AA81)))),"PS-CS Filed - F9 &amp; F18 Not Filed",IF(AND(AND(L81&lt;&gt;"",ISNUMBER(L81)),NOT(AND(Q81&lt;&gt;"",ISNUMBER(Q81)))),"PS Filed - CS Not Filed","Not Started"))))))))))))))</f>
        <v>Not Started</v>
      </c>
      <c r="BI81" s="23"/>
      <c r="BJ81" s="31"/>
      <c r="BK81" s="31"/>
    </row>
    <row r="82" spans="1:63" ht="138.75">
      <c r="A82" s="13" t="s">
        <v>264</v>
      </c>
      <c r="B82" s="14" t="s">
        <v>265</v>
      </c>
      <c r="C82" s="13" t="s">
        <v>266</v>
      </c>
      <c r="D82" s="13" t="s">
        <v>67</v>
      </c>
      <c r="E82" s="15" t="s">
        <v>535</v>
      </c>
      <c r="F82" s="13" t="s">
        <v>267</v>
      </c>
      <c r="G82" s="13" t="s">
        <v>268</v>
      </c>
      <c r="H82" s="13" t="s">
        <v>269</v>
      </c>
      <c r="I82" s="13" t="s">
        <v>270</v>
      </c>
      <c r="J82" s="13" t="s">
        <v>75</v>
      </c>
      <c r="K82" s="13">
        <v>202541003562</v>
      </c>
      <c r="L82" s="17"/>
      <c r="M82" s="18"/>
      <c r="N82" s="18"/>
      <c r="O82" s="18" t="str">
        <f t="shared" si="8"/>
        <v>PS Not yet filed</v>
      </c>
      <c r="P82" s="18" t="str">
        <f t="shared" si="1"/>
        <v/>
      </c>
      <c r="Q82" s="17">
        <v>45673</v>
      </c>
      <c r="R82" s="18"/>
      <c r="S82" s="17">
        <f t="shared" si="2"/>
        <v>45854</v>
      </c>
      <c r="T82" s="17">
        <v>45872</v>
      </c>
      <c r="U82" s="17">
        <f t="shared" si="3"/>
        <v>45763</v>
      </c>
      <c r="V82" s="17">
        <v>45755</v>
      </c>
      <c r="W82" s="13" t="s">
        <v>108</v>
      </c>
      <c r="X82" s="17">
        <v>45735</v>
      </c>
      <c r="Y82" s="17"/>
      <c r="Z82" s="18"/>
      <c r="AA82" s="17">
        <v>45735</v>
      </c>
      <c r="AB82" s="17">
        <v>46311</v>
      </c>
      <c r="AC82" s="18" t="e">
        <f t="shared" si="9"/>
        <v>#VALUE!</v>
      </c>
      <c r="AD82" s="19" t="str">
        <f t="shared" si="4"/>
        <v>42/2026</v>
      </c>
      <c r="AE82" s="17" t="s">
        <v>75</v>
      </c>
      <c r="AF82" s="18" t="str">
        <f t="shared" si="10"/>
        <v>NA</v>
      </c>
      <c r="AG82" s="19" t="s">
        <v>75</v>
      </c>
      <c r="AH82" s="17"/>
      <c r="AI82" s="18" t="str">
        <f t="shared" si="11"/>
        <v>NA</v>
      </c>
      <c r="AJ82" s="17" t="s">
        <v>75</v>
      </c>
      <c r="AK82" s="17" t="s">
        <v>75</v>
      </c>
      <c r="AL82" s="17"/>
      <c r="AM82" s="17" t="s">
        <v>75</v>
      </c>
      <c r="AN82" s="17" t="s">
        <v>75</v>
      </c>
      <c r="AO82" s="17"/>
      <c r="AP82" s="17" t="s">
        <v>75</v>
      </c>
      <c r="AQ82" s="17" t="s">
        <v>75</v>
      </c>
      <c r="AR82" s="17" t="s">
        <v>75</v>
      </c>
      <c r="AS82" s="13" t="str">
        <f ca="1">IF(OR(S82=0, S82=""), "No F1 deadline to compare", IF(T82&gt;0, IF(T82&gt;S82, "Filed after " &amp; (T82-S82) &amp; " days of deadline", "Filed within deadline"), IF(TODAY()&gt;S82, "Delayed by " &amp; (TODAY()-S82) &amp; " days", (S82-TODAY()) &amp; " days left")))</f>
        <v>Filed after 18 days of deadline</v>
      </c>
      <c r="AT82" s="21" t="str">
        <f ca="1">IF(OR(TRIM(U82)="", U82=0), "No F26 deadline to compare", IF(AND(TRIM(V82)&lt;&gt;"", ISNUMBER(V82)), IF(V82&gt;U82, "Filed after " &amp; (V82-U82) &amp; " days of deadline", "Filed within deadline"), IF(TODAY()&gt;U82, "Delayed by " &amp; (TODAY()-U82) &amp; " days", (U82-TODAY()) &amp; " days left")))</f>
        <v>Filed within deadline</v>
      </c>
      <c r="AU82" s="22"/>
      <c r="AV82" s="22"/>
      <c r="AW82" s="22"/>
      <c r="AX82" s="21"/>
      <c r="AY82" s="22"/>
      <c r="AZ82" s="22"/>
      <c r="BA82" s="22"/>
      <c r="BB82" s="21"/>
      <c r="BC82" s="21"/>
      <c r="BD82" s="21"/>
      <c r="BE82" s="21"/>
      <c r="BF82" s="21"/>
      <c r="BG82" s="21"/>
      <c r="BH82" s="13" t="str">
        <f>IF(AND(AP82&lt;&gt;"",ISNUMBER(AP82)),"Patent Refused",IF(AND(AN82&lt;&gt;"",ISNUMBER(AN82)),"Patent Granted",IF(AND(AM82&lt;&gt;"",ISNUMBER(AM82)),"WS Filed",IF(AND(AND(AK82&lt;&gt;"",ISNUMBER(AK82)),NOT(AND(AM82&lt;&gt;"",ISNUMBER(AM82)))),"Hearing Attended - WS Not Filed",IF(AND(AND(AJ82&lt;&gt;"",ISNUMBER(AJ82)),NOT(AND(AK82&lt;&gt;"",ISNUMBER(AK82)))),"Hearing Issued",IF(AND(AG82&lt;&gt;"",ISNUMBER(AG82)),"FER Reply Filed",IF(AND(AND(AE82&lt;&gt;"",ISNUMBER(AE82)),NOT(AND(AG82&lt;&gt;"",ISNUMBER(AG82)))),"FER Received - Reply Not Filed",IF(AND(AB82&lt;&gt;"",ISNUMBER(AB82)),"Published",IF(AND(AND(X82&lt;&gt;"",ISNUMBER(X82)),AND(AA82&lt;&gt;"",ISNUMBER(AA82))),"F9 &amp; F18 Filed",IF(AND(NOT(AND(X82&lt;&gt;"",ISNUMBER(X82))),AND(AA82&lt;&gt;"",ISNUMBER(AA82))),"F9 Not Filed - F18 Filed",IF(AND(AND(X82&lt;&gt;"",ISNUMBER(X82)),NOT(AND(AA82&lt;&gt;"",ISNUMBER(AA82)))),"F9 Filed - F18 Not Filed",IF(AND(NOT(AND(L82&lt;&gt;"",ISNUMBER(L82))),AND(Q82&lt;&gt;"",ISNUMBER(Q82)),NOT(AND(X82&lt;&gt;"",ISNUMBER(X82))),NOT(AND(AA82&lt;&gt;"",ISNUMBER(AA82)))),"Direct CS Filed - F9 &amp; F18 Not Filed",IF(AND(AND(L82&lt;&gt;"",ISNUMBER(L82)),AND(Q82&lt;&gt;"",ISNUMBER(Q82)),NOT(AND(X82&lt;&gt;"",ISNUMBER(X82))),NOT(AND(AA82&lt;&gt;"",ISNUMBER(AA82)))),"PS-CS Filed - F9 &amp; F18 Not Filed",IF(AND(AND(L82&lt;&gt;"",ISNUMBER(L82)),NOT(AND(Q82&lt;&gt;"",ISNUMBER(Q82)))),"PS Filed - CS Not Filed","Not Started"))))))))))))))</f>
        <v>Published</v>
      </c>
      <c r="BI82" s="23"/>
      <c r="BJ82" s="31"/>
      <c r="BK82" s="31"/>
    </row>
    <row r="83" spans="1:63" ht="235.9">
      <c r="A83" s="13" t="s">
        <v>453</v>
      </c>
      <c r="B83" s="34" t="s">
        <v>454</v>
      </c>
      <c r="C83" s="13" t="s">
        <v>266</v>
      </c>
      <c r="D83" s="13" t="s">
        <v>67</v>
      </c>
      <c r="E83" s="15" t="s">
        <v>536</v>
      </c>
      <c r="F83" s="13" t="s">
        <v>455</v>
      </c>
      <c r="G83" s="13" t="s">
        <v>456</v>
      </c>
      <c r="H83" s="13" t="s">
        <v>457</v>
      </c>
      <c r="I83" s="13" t="s">
        <v>458</v>
      </c>
      <c r="J83" s="13" t="s">
        <v>75</v>
      </c>
      <c r="K83" s="13">
        <v>202441100022</v>
      </c>
      <c r="L83" s="17">
        <v>45643</v>
      </c>
      <c r="M83" s="18">
        <v>45825</v>
      </c>
      <c r="N83" s="13" t="s">
        <v>84</v>
      </c>
      <c r="O83" s="18" t="str">
        <f t="shared" si="8"/>
        <v>0 months left (0 days)</v>
      </c>
      <c r="P83" s="18">
        <f t="shared" si="1"/>
        <v>46190</v>
      </c>
      <c r="Q83" s="17">
        <v>46137</v>
      </c>
      <c r="R83" s="18"/>
      <c r="S83" s="17">
        <f t="shared" si="2"/>
        <v>46008</v>
      </c>
      <c r="T83" s="17">
        <v>45644</v>
      </c>
      <c r="U83" s="17">
        <f t="shared" si="3"/>
        <v>45917</v>
      </c>
      <c r="V83" s="17">
        <v>45680</v>
      </c>
      <c r="W83" s="13" t="s">
        <v>108</v>
      </c>
      <c r="X83" s="17">
        <v>46217</v>
      </c>
      <c r="Y83" s="17"/>
      <c r="Z83" s="18"/>
      <c r="AA83" s="17">
        <v>46253</v>
      </c>
      <c r="AB83" s="17">
        <v>46220</v>
      </c>
      <c r="AC83" s="18"/>
      <c r="AD83" s="19" t="str">
        <f t="shared" si="4"/>
        <v>29/2026</v>
      </c>
      <c r="AE83" s="17" t="s">
        <v>75</v>
      </c>
      <c r="AF83" s="18" t="str">
        <f t="shared" si="10"/>
        <v>NA</v>
      </c>
      <c r="AG83" s="19" t="s">
        <v>75</v>
      </c>
      <c r="AH83" s="17"/>
      <c r="AI83" s="18" t="str">
        <f t="shared" si="11"/>
        <v>NA</v>
      </c>
      <c r="AJ83" s="17" t="s">
        <v>75</v>
      </c>
      <c r="AK83" s="17" t="s">
        <v>75</v>
      </c>
      <c r="AL83" s="17"/>
      <c r="AM83" s="17" t="s">
        <v>75</v>
      </c>
      <c r="AN83" s="17" t="s">
        <v>75</v>
      </c>
      <c r="AO83" s="17"/>
      <c r="AP83" s="17" t="s">
        <v>75</v>
      </c>
      <c r="AQ83" s="17" t="s">
        <v>75</v>
      </c>
      <c r="AR83" s="17" t="s">
        <v>75</v>
      </c>
      <c r="AS83" s="13" t="str">
        <f ca="1">IF(OR(S83=0, S83=""), "No F1 deadline to compare", IF(T83&gt;0, IF(T83&gt;S83, "Filed after " &amp; (T83-S83) &amp; " days of deadline", "Filed within deadline"), IF(TODAY()&gt;S83, "Delayed by " &amp; (TODAY()-S83) &amp; " days", (S83-TODAY()) &amp; " days left")))</f>
        <v>Filed within deadline</v>
      </c>
      <c r="AT83" s="21" t="str">
        <f ca="1">IF(OR(TRIM(U83)="", U83=0), "No F26 deadline to compare", IF(AND(TRIM(V83)&lt;&gt;"", ISNUMBER(V83)), IF(V83&gt;U83, "Filed after " &amp; (V83-U83) &amp; " days of deadline", "Filed within deadline"), IF(TODAY()&gt;U83, "Delayed by " &amp; (TODAY()-U83) &amp; " days", (U83-TODAY()) &amp; " days left")))</f>
        <v>Filed within deadline</v>
      </c>
      <c r="AU83" s="22"/>
      <c r="AV83" s="22"/>
      <c r="AW83" s="22"/>
      <c r="AX83" s="21"/>
      <c r="AY83" s="22"/>
      <c r="AZ83" s="22"/>
      <c r="BA83" s="22"/>
      <c r="BB83" s="21"/>
      <c r="BC83" s="21"/>
      <c r="BD83" s="21"/>
      <c r="BE83" s="21"/>
      <c r="BF83" s="21"/>
      <c r="BG83" s="21"/>
      <c r="BH83" s="13" t="str">
        <f>IF(AND(AP83&lt;&gt;"",ISNUMBER(AP83)),"Patent Refused",IF(AND(AN83&lt;&gt;"",ISNUMBER(AN83)),"Patent Granted",IF(AND(AM83&lt;&gt;"",ISNUMBER(AM83)),"WS Filed",IF(AND(AND(AK83&lt;&gt;"",ISNUMBER(AK83)),NOT(AND(AM83&lt;&gt;"",ISNUMBER(AM83)))),"Hearing Attended - WS Not Filed",IF(AND(AND(AJ83&lt;&gt;"",ISNUMBER(AJ83)),NOT(AND(AK83&lt;&gt;"",ISNUMBER(AK83)))),"Hearing Issued",IF(AND(AG83&lt;&gt;"",ISNUMBER(AG83)),"FER Reply Filed",IF(AND(AND(AE83&lt;&gt;"",ISNUMBER(AE83)),NOT(AND(AG83&lt;&gt;"",ISNUMBER(AG83)))),"FER Received - Reply Not Filed",IF(AND(AB83&lt;&gt;"",ISNUMBER(AB83)),"Published",IF(AND(AND(X83&lt;&gt;"",ISNUMBER(X83)),AND(AA83&lt;&gt;"",ISNUMBER(AA83))),"F9 &amp; F18 Filed",IF(AND(NOT(AND(X83&lt;&gt;"",ISNUMBER(X83))),AND(AA83&lt;&gt;"",ISNUMBER(AA83))),"F9 Not Filed - F18 Filed",IF(AND(AND(X83&lt;&gt;"",ISNUMBER(X83)),NOT(AND(AA83&lt;&gt;"",ISNUMBER(AA83)))),"F9 Filed - F18 Not Filed",IF(AND(NOT(AND(L83&lt;&gt;"",ISNUMBER(L83))),AND(Q83&lt;&gt;"",ISNUMBER(Q83)),NOT(AND(X83&lt;&gt;"",ISNUMBER(X83))),NOT(AND(AA83&lt;&gt;"",ISNUMBER(AA83)))),"Direct CS Filed - F9 &amp; F18 Not Filed",IF(AND(AND(L83&lt;&gt;"",ISNUMBER(L83)),AND(Q83&lt;&gt;"",ISNUMBER(Q83)),NOT(AND(X83&lt;&gt;"",ISNUMBER(X83))),NOT(AND(AA83&lt;&gt;"",ISNUMBER(AA83)))),"PS-CS Filed - F9 &amp; F18 Not Filed",IF(AND(AND(L83&lt;&gt;"",ISNUMBER(L83)),NOT(AND(Q83&lt;&gt;"",ISNUMBER(Q83)))),"PS Filed - CS Not Filed","Not Started"))))))))))))))</f>
        <v>Published</v>
      </c>
      <c r="BI83" s="23"/>
      <c r="BJ83" s="31"/>
      <c r="BK83" s="31"/>
    </row>
    <row r="84" spans="1:63" ht="263.64999999999998">
      <c r="A84" s="13" t="s">
        <v>460</v>
      </c>
      <c r="B84" s="34" t="s">
        <v>461</v>
      </c>
      <c r="C84" s="13" t="s">
        <v>266</v>
      </c>
      <c r="D84" s="13" t="s">
        <v>67</v>
      </c>
      <c r="E84" s="15" t="s">
        <v>536</v>
      </c>
      <c r="F84" s="13" t="s">
        <v>462</v>
      </c>
      <c r="G84" s="13" t="s">
        <v>463</v>
      </c>
      <c r="H84" s="13" t="s">
        <v>457</v>
      </c>
      <c r="I84" s="13" t="s">
        <v>458</v>
      </c>
      <c r="J84" s="13" t="s">
        <v>229</v>
      </c>
      <c r="K84" s="13">
        <v>202441100900</v>
      </c>
      <c r="L84" s="17">
        <v>45645</v>
      </c>
      <c r="M84" s="18">
        <v>45827</v>
      </c>
      <c r="N84" s="13" t="s">
        <v>84</v>
      </c>
      <c r="O84" s="18" t="str">
        <f t="shared" si="8"/>
        <v>0 months left (0 days)</v>
      </c>
      <c r="P84" s="18">
        <f t="shared" si="1"/>
        <v>46192</v>
      </c>
      <c r="Q84" s="17">
        <v>46139</v>
      </c>
      <c r="R84" s="18"/>
      <c r="S84" s="17">
        <f t="shared" si="2"/>
        <v>46010</v>
      </c>
      <c r="T84" s="17">
        <v>45646</v>
      </c>
      <c r="U84" s="17">
        <f t="shared" si="3"/>
        <v>45919</v>
      </c>
      <c r="V84" s="17">
        <v>45680</v>
      </c>
      <c r="W84" s="13" t="s">
        <v>108</v>
      </c>
      <c r="X84" s="17">
        <v>46217</v>
      </c>
      <c r="Y84" s="17"/>
      <c r="Z84" s="18"/>
      <c r="AA84" s="17">
        <v>46253</v>
      </c>
      <c r="AB84" s="17">
        <v>46220</v>
      </c>
      <c r="AC84" s="18" t="e">
        <f t="shared" ref="AC84:AC89" si="12">IF(VALUE(LEFT(AB84,FIND("/",AB84)-1))&gt;12,"DD/MM/YYYY","Possibly MM/DD/YYYY")</f>
        <v>#VALUE!</v>
      </c>
      <c r="AD84" s="19" t="str">
        <f t="shared" si="4"/>
        <v>29/2026</v>
      </c>
      <c r="AE84" s="17" t="s">
        <v>75</v>
      </c>
      <c r="AF84" s="18" t="str">
        <f t="shared" si="10"/>
        <v>NA</v>
      </c>
      <c r="AG84" s="19" t="s">
        <v>75</v>
      </c>
      <c r="AH84" s="17"/>
      <c r="AI84" s="18" t="str">
        <f t="shared" si="11"/>
        <v>NA</v>
      </c>
      <c r="AJ84" s="17" t="s">
        <v>75</v>
      </c>
      <c r="AK84" s="17" t="s">
        <v>75</v>
      </c>
      <c r="AL84" s="17"/>
      <c r="AM84" s="17" t="s">
        <v>75</v>
      </c>
      <c r="AN84" s="17" t="s">
        <v>75</v>
      </c>
      <c r="AO84" s="17"/>
      <c r="AP84" s="17" t="s">
        <v>75</v>
      </c>
      <c r="AQ84" s="17" t="s">
        <v>75</v>
      </c>
      <c r="AR84" s="17" t="s">
        <v>75</v>
      </c>
      <c r="AS84" s="13" t="str">
        <f ca="1">IF(OR(S84=0, S84=""), "No F1 deadline to compare", IF(T84&gt;0, IF(T84&gt;S84, "Filed after " &amp; (T84-S84) &amp; " days of deadline", "Filed within deadline"), IF(TODAY()&gt;S84, "Delayed by " &amp; (TODAY()-S84) &amp; " days", (S84-TODAY()) &amp; " days left")))</f>
        <v>Filed within deadline</v>
      </c>
      <c r="AT84" s="21" t="str">
        <f ca="1">IF(OR(TRIM(U84)="", U84=0), "No F26 deadline to compare", IF(AND(TRIM(V84)&lt;&gt;"", ISNUMBER(V84)), IF(V84&gt;U84, "Filed after " &amp; (V84-U84) &amp; " days of deadline", "Filed within deadline"), IF(TODAY()&gt;U84, "Delayed by " &amp; (TODAY()-U84) &amp; " days", (U84-TODAY()) &amp; " days left")))</f>
        <v>Filed within deadline</v>
      </c>
      <c r="AU84" s="22"/>
      <c r="AV84" s="22"/>
      <c r="AW84" s="22"/>
      <c r="AX84" s="21"/>
      <c r="AY84" s="22"/>
      <c r="AZ84" s="22"/>
      <c r="BA84" s="22"/>
      <c r="BB84" s="21"/>
      <c r="BC84" s="21"/>
      <c r="BD84" s="21"/>
      <c r="BE84" s="21"/>
      <c r="BF84" s="21"/>
      <c r="BG84" s="21"/>
      <c r="BH84" s="13" t="str">
        <f>IF(AND(AP84&lt;&gt;"",ISNUMBER(AP84)),"Patent Refused",IF(AND(AN84&lt;&gt;"",ISNUMBER(AN84)),"Patent Granted",IF(AND(AM84&lt;&gt;"",ISNUMBER(AM84)),"WS Filed",IF(AND(AND(AK84&lt;&gt;"",ISNUMBER(AK84)),NOT(AND(AM84&lt;&gt;"",ISNUMBER(AM84)))),"Hearing Attended - WS Not Filed",IF(AND(AND(AJ84&lt;&gt;"",ISNUMBER(AJ84)),NOT(AND(AK84&lt;&gt;"",ISNUMBER(AK84)))),"Hearing Issued",IF(AND(AG84&lt;&gt;"",ISNUMBER(AG84)),"FER Reply Filed",IF(AND(AND(AE84&lt;&gt;"",ISNUMBER(AE84)),NOT(AND(AG84&lt;&gt;"",ISNUMBER(AG84)))),"FER Received - Reply Not Filed",IF(AND(AB84&lt;&gt;"",ISNUMBER(AB84)),"Published",IF(AND(AND(X84&lt;&gt;"",ISNUMBER(X84)),AND(AA84&lt;&gt;"",ISNUMBER(AA84))),"F9 &amp; F18 Filed",IF(AND(NOT(AND(X84&lt;&gt;"",ISNUMBER(X84))),AND(AA84&lt;&gt;"",ISNUMBER(AA84))),"F9 Not Filed - F18 Filed",IF(AND(AND(X84&lt;&gt;"",ISNUMBER(X84)),NOT(AND(AA84&lt;&gt;"",ISNUMBER(AA84)))),"F9 Filed - F18 Not Filed",IF(AND(NOT(AND(L84&lt;&gt;"",ISNUMBER(L84))),AND(Q84&lt;&gt;"",ISNUMBER(Q84)),NOT(AND(X84&lt;&gt;"",ISNUMBER(X84))),NOT(AND(AA84&lt;&gt;"",ISNUMBER(AA84)))),"Direct CS Filed - F9 &amp; F18 Not Filed",IF(AND(AND(L84&lt;&gt;"",ISNUMBER(L84)),AND(Q84&lt;&gt;"",ISNUMBER(Q84)),NOT(AND(X84&lt;&gt;"",ISNUMBER(X84))),NOT(AND(AA84&lt;&gt;"",ISNUMBER(AA84)))),"PS-CS Filed - F9 &amp; F18 Not Filed",IF(AND(AND(L84&lt;&gt;"",ISNUMBER(L84)),NOT(AND(Q84&lt;&gt;"",ISNUMBER(Q84)))),"PS Filed - CS Not Filed","Not Started"))))))))))))))</f>
        <v>Published</v>
      </c>
      <c r="BI84" s="23"/>
      <c r="BJ84" s="31"/>
      <c r="BK84" s="31"/>
    </row>
    <row r="85" spans="1:63" ht="55.5">
      <c r="A85" s="13" t="s">
        <v>537</v>
      </c>
      <c r="B85" s="14"/>
      <c r="C85" s="13" t="s">
        <v>266</v>
      </c>
      <c r="D85" s="13" t="s">
        <v>67</v>
      </c>
      <c r="E85" s="15"/>
      <c r="F85" s="13"/>
      <c r="G85" s="13"/>
      <c r="H85" s="13"/>
      <c r="I85" s="13"/>
      <c r="J85" s="13"/>
      <c r="K85" s="13"/>
      <c r="L85" s="17"/>
      <c r="M85" s="18"/>
      <c r="N85" s="18"/>
      <c r="O85" s="18" t="str">
        <f t="shared" si="8"/>
        <v>PS Not yet filed</v>
      </c>
      <c r="P85" s="18" t="str">
        <f t="shared" si="1"/>
        <v/>
      </c>
      <c r="Q85" s="17"/>
      <c r="R85" s="18"/>
      <c r="S85" s="17" t="str">
        <f t="shared" si="2"/>
        <v>NA</v>
      </c>
      <c r="T85" s="17"/>
      <c r="U85" s="17" t="str">
        <f t="shared" si="3"/>
        <v>NA</v>
      </c>
      <c r="V85" s="17"/>
      <c r="W85" s="13" t="s">
        <v>139</v>
      </c>
      <c r="X85" s="17"/>
      <c r="Y85" s="17"/>
      <c r="Z85" s="18"/>
      <c r="AA85" s="17"/>
      <c r="AB85" s="17"/>
      <c r="AC85" s="18" t="e">
        <f t="shared" si="12"/>
        <v>#VALUE!</v>
      </c>
      <c r="AD85" s="19">
        <f t="shared" si="4"/>
        <v>0</v>
      </c>
      <c r="AE85" s="17"/>
      <c r="AF85" s="18" t="str">
        <f t="shared" si="10"/>
        <v>NA</v>
      </c>
      <c r="AG85" s="19"/>
      <c r="AH85" s="17"/>
      <c r="AI85" s="18" t="str">
        <f t="shared" si="11"/>
        <v>NA</v>
      </c>
      <c r="AJ85" s="17"/>
      <c r="AK85" s="17"/>
      <c r="AL85" s="17"/>
      <c r="AM85" s="17"/>
      <c r="AN85" s="17"/>
      <c r="AO85" s="17"/>
      <c r="AP85" s="17"/>
      <c r="AQ85" s="17"/>
      <c r="AR85" s="17"/>
      <c r="AS85" s="13" t="e">
        <f ca="1">IF(OR(S85=0, S85=""), "No F1 deadline to compare", IF(T85&gt;0, IF(T85&gt;S85, "Filed after " &amp; (T85-S85) &amp; " days of deadline", "Filed within deadline"), IF(TODAY()&gt;S85, "Delayed by " &amp; (TODAY()-S85) &amp; " days", (S85-TODAY()) &amp; " days left")))</f>
        <v>#VALUE!</v>
      </c>
      <c r="AT85" s="21" t="e">
        <f ca="1">IF(OR(TRIM(U85)="", U85=0), "No F26 deadline to compare", IF(AND(TRIM(V85)&lt;&gt;"", ISNUMBER(V85)), IF(V85&gt;U85, "Filed after " &amp; (V85-U85) &amp; " days of deadline", "Filed within deadline"), IF(TODAY()&gt;U85, "Delayed by " &amp; (TODAY()-U85) &amp; " days", (U85-TODAY()) &amp; " days left")))</f>
        <v>#VALUE!</v>
      </c>
      <c r="AU85" s="22"/>
      <c r="AV85" s="22"/>
      <c r="AW85" s="22"/>
      <c r="AX85" s="21"/>
      <c r="AY85" s="22"/>
      <c r="AZ85" s="22"/>
      <c r="BA85" s="22"/>
      <c r="BB85" s="21"/>
      <c r="BC85" s="21"/>
      <c r="BD85" s="21"/>
      <c r="BE85" s="21"/>
      <c r="BF85" s="21"/>
      <c r="BG85" s="21"/>
      <c r="BH85" s="13" t="str">
        <f>IF(AND(AP85&lt;&gt;"",ISNUMBER(AP85)),"Patent Refused",IF(AND(AN85&lt;&gt;"",ISNUMBER(AN85)),"Patent Granted",IF(AND(AM85&lt;&gt;"",ISNUMBER(AM85)),"WS Filed",IF(AND(AND(AK85&lt;&gt;"",ISNUMBER(AK85)),NOT(AND(AM85&lt;&gt;"",ISNUMBER(AM85)))),"Hearing Attended - WS Not Filed",IF(AND(AND(AJ85&lt;&gt;"",ISNUMBER(AJ85)),NOT(AND(AK85&lt;&gt;"",ISNUMBER(AK85)))),"Hearing Issued",IF(AND(AG85&lt;&gt;"",ISNUMBER(AG85)),"FER Reply Filed",IF(AND(AND(AE85&lt;&gt;"",ISNUMBER(AE85)),NOT(AND(AG85&lt;&gt;"",ISNUMBER(AG85)))),"FER Received - Reply Not Filed",IF(AND(AB85&lt;&gt;"",ISNUMBER(AB85)),"Published",IF(AND(AND(X85&lt;&gt;"",ISNUMBER(X85)),AND(AA85&lt;&gt;"",ISNUMBER(AA85))),"F9 &amp; F18 Filed",IF(AND(NOT(AND(X85&lt;&gt;"",ISNUMBER(X85))),AND(AA85&lt;&gt;"",ISNUMBER(AA85))),"F9 Not Filed - F18 Filed",IF(AND(AND(X85&lt;&gt;"",ISNUMBER(X85)),NOT(AND(AA85&lt;&gt;"",ISNUMBER(AA85)))),"F9 Filed - F18 Not Filed",IF(AND(NOT(AND(L85&lt;&gt;"",ISNUMBER(L85))),AND(Q85&lt;&gt;"",ISNUMBER(Q85)),NOT(AND(X85&lt;&gt;"",ISNUMBER(X85))),NOT(AND(AA85&lt;&gt;"",ISNUMBER(AA85)))),"Direct CS Filed - F9 &amp; F18 Not Filed",IF(AND(AND(L85&lt;&gt;"",ISNUMBER(L85)),AND(Q85&lt;&gt;"",ISNUMBER(Q85)),NOT(AND(X85&lt;&gt;"",ISNUMBER(X85))),NOT(AND(AA85&lt;&gt;"",ISNUMBER(AA85)))),"PS-CS Filed - F9 &amp; F18 Not Filed",IF(AND(AND(L85&lt;&gt;"",ISNUMBER(L85)),NOT(AND(Q85&lt;&gt;"",ISNUMBER(Q85)))),"PS Filed - CS Not Filed","Not Started"))))))))))))))</f>
        <v>Not Started</v>
      </c>
      <c r="BI85" s="23"/>
      <c r="BJ85" s="31"/>
      <c r="BK85" s="31"/>
    </row>
    <row r="86" spans="1:63" ht="55.5">
      <c r="A86" s="13" t="s">
        <v>538</v>
      </c>
      <c r="B86" s="14" t="s">
        <v>505</v>
      </c>
      <c r="C86" s="13" t="s">
        <v>266</v>
      </c>
      <c r="D86" s="13" t="s">
        <v>67</v>
      </c>
      <c r="E86" s="15" t="s">
        <v>75</v>
      </c>
      <c r="F86" s="13" t="s">
        <v>75</v>
      </c>
      <c r="G86" s="13"/>
      <c r="H86" s="13"/>
      <c r="I86" s="13" t="s">
        <v>539</v>
      </c>
      <c r="J86" s="13" t="s">
        <v>75</v>
      </c>
      <c r="K86" s="13" t="s">
        <v>75</v>
      </c>
      <c r="L86" s="17" t="s">
        <v>75</v>
      </c>
      <c r="M86" s="18"/>
      <c r="N86" s="18"/>
      <c r="O86" s="18" t="str">
        <f t="shared" si="8"/>
        <v>PS Not yet filed</v>
      </c>
      <c r="P86" s="18" t="str">
        <f t="shared" si="1"/>
        <v/>
      </c>
      <c r="Q86" s="17" t="s">
        <v>75</v>
      </c>
      <c r="R86" s="18"/>
      <c r="S86" s="17" t="str">
        <f t="shared" si="2"/>
        <v>NA</v>
      </c>
      <c r="T86" s="17"/>
      <c r="U86" s="17" t="str">
        <f t="shared" si="3"/>
        <v>NA</v>
      </c>
      <c r="V86" s="17" t="s">
        <v>423</v>
      </c>
      <c r="W86" s="13" t="s">
        <v>108</v>
      </c>
      <c r="X86" s="17" t="s">
        <v>75</v>
      </c>
      <c r="Y86" s="17"/>
      <c r="Z86" s="18"/>
      <c r="AA86" s="17" t="s">
        <v>75</v>
      </c>
      <c r="AB86" s="17" t="s">
        <v>75</v>
      </c>
      <c r="AC86" s="18" t="e">
        <f t="shared" si="12"/>
        <v>#VALUE!</v>
      </c>
      <c r="AD86" s="19" t="str">
        <f t="shared" si="4"/>
        <v>NA</v>
      </c>
      <c r="AE86" s="17" t="s">
        <v>75</v>
      </c>
      <c r="AF86" s="18" t="str">
        <f t="shared" si="10"/>
        <v>NA</v>
      </c>
      <c r="AG86" s="19" t="s">
        <v>75</v>
      </c>
      <c r="AH86" s="17"/>
      <c r="AI86" s="18" t="str">
        <f t="shared" si="11"/>
        <v>NA</v>
      </c>
      <c r="AJ86" s="17" t="s">
        <v>75</v>
      </c>
      <c r="AK86" s="17" t="s">
        <v>75</v>
      </c>
      <c r="AL86" s="17"/>
      <c r="AM86" s="17" t="s">
        <v>75</v>
      </c>
      <c r="AN86" s="17" t="s">
        <v>75</v>
      </c>
      <c r="AO86" s="17"/>
      <c r="AP86" s="17" t="s">
        <v>75</v>
      </c>
      <c r="AQ86" s="17" t="s">
        <v>75</v>
      </c>
      <c r="AR86" s="17" t="s">
        <v>75</v>
      </c>
      <c r="AS86" s="13" t="e">
        <f ca="1">IF(OR(S86=0, S86=""), "No F1 deadline to compare", IF(T86&gt;0, IF(T86&gt;S86, "Filed after " &amp; (T86-S86) &amp; " days of deadline", "Filed within deadline"), IF(TODAY()&gt;S86, "Delayed by " &amp; (TODAY()-S86) &amp; " days", (S86-TODAY()) &amp; " days left")))</f>
        <v>#VALUE!</v>
      </c>
      <c r="AT86" s="21" t="e">
        <f ca="1">IF(OR(TRIM(U86)="", U86=0), "No F26 deadline to compare", IF(AND(TRIM(V86)&lt;&gt;"", ISNUMBER(V86)), IF(V86&gt;U86, "Filed after " &amp; (V86-U86) &amp; " days of deadline", "Filed within deadline"), IF(TODAY()&gt;U86, "Delayed by " &amp; (TODAY()-U86) &amp; " days", (U86-TODAY()) &amp; " days left")))</f>
        <v>#VALUE!</v>
      </c>
      <c r="AU86" s="22"/>
      <c r="AV86" s="22"/>
      <c r="AW86" s="22"/>
      <c r="AX86" s="21"/>
      <c r="AY86" s="22"/>
      <c r="AZ86" s="22"/>
      <c r="BA86" s="22"/>
      <c r="BB86" s="21"/>
      <c r="BC86" s="21"/>
      <c r="BD86" s="21"/>
      <c r="BE86" s="21"/>
      <c r="BF86" s="21"/>
      <c r="BG86" s="21"/>
      <c r="BH86" s="13" t="str">
        <f>IF(AND(AP86&lt;&gt;"",ISNUMBER(AP86)),"Patent Refused",IF(AND(AN86&lt;&gt;"",ISNUMBER(AN86)),"Patent Granted",IF(AND(AM86&lt;&gt;"",ISNUMBER(AM86)),"WS Filed",IF(AND(AND(AK86&lt;&gt;"",ISNUMBER(AK86)),NOT(AND(AM86&lt;&gt;"",ISNUMBER(AM86)))),"Hearing Attended - WS Not Filed",IF(AND(AND(AJ86&lt;&gt;"",ISNUMBER(AJ86)),NOT(AND(AK86&lt;&gt;"",ISNUMBER(AK86)))),"Hearing Issued",IF(AND(AG86&lt;&gt;"",ISNUMBER(AG86)),"FER Reply Filed",IF(AND(AND(AE86&lt;&gt;"",ISNUMBER(AE86)),NOT(AND(AG86&lt;&gt;"",ISNUMBER(AG86)))),"FER Received - Reply Not Filed",IF(AND(AB86&lt;&gt;"",ISNUMBER(AB86)),"Published",IF(AND(AND(X86&lt;&gt;"",ISNUMBER(X86)),AND(AA86&lt;&gt;"",ISNUMBER(AA86))),"F9 &amp; F18 Filed",IF(AND(NOT(AND(X86&lt;&gt;"",ISNUMBER(X86))),AND(AA86&lt;&gt;"",ISNUMBER(AA86))),"F9 Not Filed - F18 Filed",IF(AND(AND(X86&lt;&gt;"",ISNUMBER(X86)),NOT(AND(AA86&lt;&gt;"",ISNUMBER(AA86)))),"F9 Filed - F18 Not Filed",IF(AND(NOT(AND(L86&lt;&gt;"",ISNUMBER(L86))),AND(Q86&lt;&gt;"",ISNUMBER(Q86)),NOT(AND(X86&lt;&gt;"",ISNUMBER(X86))),NOT(AND(AA86&lt;&gt;"",ISNUMBER(AA86)))),"Direct CS Filed - F9 &amp; F18 Not Filed",IF(AND(AND(L86&lt;&gt;"",ISNUMBER(L86)),AND(Q86&lt;&gt;"",ISNUMBER(Q86)),NOT(AND(X86&lt;&gt;"",ISNUMBER(X86))),NOT(AND(AA86&lt;&gt;"",ISNUMBER(AA86)))),"PS-CS Filed - F9 &amp; F18 Not Filed",IF(AND(AND(L86&lt;&gt;"",ISNUMBER(L86)),NOT(AND(Q86&lt;&gt;"",ISNUMBER(Q86)))),"PS Filed - CS Not Filed","Not Started"))))))))))))))</f>
        <v>Not Started</v>
      </c>
      <c r="BI86" s="23"/>
      <c r="BJ86" s="31"/>
      <c r="BK86" s="31"/>
    </row>
    <row r="87" spans="1:63" ht="374.65">
      <c r="A87" s="33" t="s">
        <v>465</v>
      </c>
      <c r="B87" s="14" t="s">
        <v>466</v>
      </c>
      <c r="C87" s="13" t="s">
        <v>81</v>
      </c>
      <c r="D87" s="13" t="s">
        <v>67</v>
      </c>
      <c r="E87" s="15" t="s">
        <v>540</v>
      </c>
      <c r="F87" s="13" t="s">
        <v>467</v>
      </c>
      <c r="G87" s="13" t="s">
        <v>468</v>
      </c>
      <c r="H87" s="13" t="s">
        <v>469</v>
      </c>
      <c r="I87" s="13" t="s">
        <v>470</v>
      </c>
      <c r="J87" s="13">
        <v>9154402167</v>
      </c>
      <c r="K87" s="13">
        <v>202541009339</v>
      </c>
      <c r="L87" s="17">
        <v>45693</v>
      </c>
      <c r="M87" s="18">
        <v>45874</v>
      </c>
      <c r="N87" s="35" t="s">
        <v>84</v>
      </c>
      <c r="O87" s="18" t="str">
        <f t="shared" si="8"/>
        <v>0 months left (0 days)</v>
      </c>
      <c r="P87" s="18">
        <f t="shared" si="1"/>
        <v>46239</v>
      </c>
      <c r="Q87" s="17" t="s">
        <v>446</v>
      </c>
      <c r="R87" s="18"/>
      <c r="S87" s="17">
        <f t="shared" si="2"/>
        <v>46058</v>
      </c>
      <c r="T87" s="17">
        <v>45873</v>
      </c>
      <c r="U87" s="17">
        <f t="shared" si="3"/>
        <v>45966</v>
      </c>
      <c r="V87" s="17">
        <v>45755</v>
      </c>
      <c r="W87" s="13" t="s">
        <v>88</v>
      </c>
      <c r="X87" s="17" t="s">
        <v>75</v>
      </c>
      <c r="Y87" s="17"/>
      <c r="Z87" s="18"/>
      <c r="AA87" s="17" t="s">
        <v>75</v>
      </c>
      <c r="AB87" s="17" t="s">
        <v>75</v>
      </c>
      <c r="AC87" s="18" t="e">
        <f t="shared" si="12"/>
        <v>#VALUE!</v>
      </c>
      <c r="AD87" s="19" t="str">
        <f t="shared" si="4"/>
        <v>NA</v>
      </c>
      <c r="AE87" s="17" t="s">
        <v>75</v>
      </c>
      <c r="AF87" s="18" t="str">
        <f t="shared" si="10"/>
        <v>NA</v>
      </c>
      <c r="AG87" s="19" t="s">
        <v>75</v>
      </c>
      <c r="AH87" s="17"/>
      <c r="AI87" s="18" t="str">
        <f t="shared" si="11"/>
        <v>NA</v>
      </c>
      <c r="AJ87" s="17" t="s">
        <v>75</v>
      </c>
      <c r="AK87" s="17" t="s">
        <v>75</v>
      </c>
      <c r="AL87" s="17"/>
      <c r="AM87" s="17" t="s">
        <v>75</v>
      </c>
      <c r="AN87" s="17" t="s">
        <v>75</v>
      </c>
      <c r="AO87" s="17"/>
      <c r="AP87" s="17" t="s">
        <v>75</v>
      </c>
      <c r="AQ87" s="17" t="s">
        <v>75</v>
      </c>
      <c r="AR87" s="17" t="s">
        <v>75</v>
      </c>
      <c r="AS87" s="13" t="str">
        <f ca="1">IF(OR(S87=0, S87=""), "No F1 deadline to compare", IF(T87&gt;0, IF(T87&gt;S87, "Filed after " &amp; (T87-S87) &amp; " days of deadline", "Filed within deadline"), IF(TODAY()&gt;S87, "Delayed by " &amp; (TODAY()-S87) &amp; " days", (S87-TODAY()) &amp; " days left")))</f>
        <v>Filed within deadline</v>
      </c>
      <c r="AT87" s="21" t="str">
        <f ca="1">IF(OR(TRIM(U87)="", U87=0), "No F26 deadline to compare", IF(AND(TRIM(V87)&lt;&gt;"", ISNUMBER(V87)), IF(V87&gt;U87, "Filed after " &amp; (V87-U87) &amp; " days of deadline", "Filed within deadline"), IF(TODAY()&gt;U87, "Delayed by " &amp; (TODAY()-U87) &amp; " days", (U87-TODAY()) &amp; " days left")))</f>
        <v>Filed within deadline</v>
      </c>
      <c r="AU87" s="22"/>
      <c r="AV87" s="22"/>
      <c r="AW87" s="22"/>
      <c r="AX87" s="21"/>
      <c r="AY87" s="22"/>
      <c r="AZ87" s="22"/>
      <c r="BA87" s="22"/>
      <c r="BB87" s="21"/>
      <c r="BC87" s="21"/>
      <c r="BD87" s="21"/>
      <c r="BE87" s="21"/>
      <c r="BF87" s="21"/>
      <c r="BG87" s="21"/>
      <c r="BH87" s="13" t="str">
        <f>IF(AND(AP87&lt;&gt;"",ISNUMBER(AP87)),"Patent Refused",IF(AND(AN87&lt;&gt;"",ISNUMBER(AN87)),"Patent Granted",IF(AND(AM87&lt;&gt;"",ISNUMBER(AM87)),"WS Filed",IF(AND(AND(AK87&lt;&gt;"",ISNUMBER(AK87)),NOT(AND(AM87&lt;&gt;"",ISNUMBER(AM87)))),"Hearing Attended - WS Not Filed",IF(AND(AND(AJ87&lt;&gt;"",ISNUMBER(AJ87)),NOT(AND(AK87&lt;&gt;"",ISNUMBER(AK87)))),"Hearing Issued",IF(AND(AG87&lt;&gt;"",ISNUMBER(AG87)),"FER Reply Filed",IF(AND(AND(AE87&lt;&gt;"",ISNUMBER(AE87)),NOT(AND(AG87&lt;&gt;"",ISNUMBER(AG87)))),"FER Received - Reply Not Filed",IF(AND(AB87&lt;&gt;"",ISNUMBER(AB87)),"Published",IF(AND(AND(X87&lt;&gt;"",ISNUMBER(X87)),AND(AA87&lt;&gt;"",ISNUMBER(AA87))),"F9 &amp; F18 Filed",IF(AND(NOT(AND(X87&lt;&gt;"",ISNUMBER(X87))),AND(AA87&lt;&gt;"",ISNUMBER(AA87))),"F9 Not Filed - F18 Filed",IF(AND(AND(X87&lt;&gt;"",ISNUMBER(X87)),NOT(AND(AA87&lt;&gt;"",ISNUMBER(AA87)))),"F9 Filed - F18 Not Filed",IF(AND(NOT(AND(L87&lt;&gt;"",ISNUMBER(L87))),AND(Q87&lt;&gt;"",ISNUMBER(Q87)),NOT(AND(X87&lt;&gt;"",ISNUMBER(X87))),NOT(AND(AA87&lt;&gt;"",ISNUMBER(AA87)))),"Direct CS Filed - F9 &amp; F18 Not Filed",IF(AND(AND(L87&lt;&gt;"",ISNUMBER(L87)),AND(Q87&lt;&gt;"",ISNUMBER(Q87)),NOT(AND(X87&lt;&gt;"",ISNUMBER(X87))),NOT(AND(AA87&lt;&gt;"",ISNUMBER(AA87)))),"PS-CS Filed - F9 &amp; F18 Not Filed",IF(AND(AND(L87&lt;&gt;"",ISNUMBER(L87)),NOT(AND(Q87&lt;&gt;"",ISNUMBER(Q87)))),"PS Filed - CS Not Filed","Not Started"))))))))))))))</f>
        <v>PS Filed - CS Not Filed</v>
      </c>
      <c r="BI87" s="23"/>
      <c r="BJ87" s="31"/>
      <c r="BK87" s="31"/>
    </row>
    <row r="88" spans="1:63" ht="305.25">
      <c r="A88" s="13" t="s">
        <v>471</v>
      </c>
      <c r="B88" s="14" t="s">
        <v>472</v>
      </c>
      <c r="C88" s="13" t="s">
        <v>96</v>
      </c>
      <c r="D88" s="13" t="s">
        <v>67</v>
      </c>
      <c r="E88" s="15" t="s">
        <v>541</v>
      </c>
      <c r="F88" s="13" t="s">
        <v>473</v>
      </c>
      <c r="G88" s="13" t="s">
        <v>474</v>
      </c>
      <c r="H88" s="13" t="s">
        <v>475</v>
      </c>
      <c r="I88" s="13" t="s">
        <v>476</v>
      </c>
      <c r="J88" s="13" t="s">
        <v>75</v>
      </c>
      <c r="K88" s="13">
        <v>202441099044</v>
      </c>
      <c r="L88" s="17">
        <v>45640</v>
      </c>
      <c r="M88" s="18">
        <v>45655</v>
      </c>
      <c r="N88" s="13" t="s">
        <v>84</v>
      </c>
      <c r="O88" s="18" t="str">
        <f t="shared" si="8"/>
        <v>6 months left (167 days)</v>
      </c>
      <c r="P88" s="18">
        <f t="shared" si="1"/>
        <v>46020</v>
      </c>
      <c r="Q88" s="17">
        <v>46017</v>
      </c>
      <c r="R88" s="18"/>
      <c r="S88" s="17">
        <f t="shared" si="2"/>
        <v>45837</v>
      </c>
      <c r="T88" s="17">
        <v>45769</v>
      </c>
      <c r="U88" s="17">
        <f t="shared" si="3"/>
        <v>45745</v>
      </c>
      <c r="V88" s="17">
        <v>45680</v>
      </c>
      <c r="W88" s="13" t="s">
        <v>89</v>
      </c>
      <c r="X88" s="17">
        <v>46083</v>
      </c>
      <c r="Y88" s="37"/>
      <c r="Z88" s="38"/>
      <c r="AA88" s="24" t="s">
        <v>542</v>
      </c>
      <c r="AB88" s="17">
        <v>46087</v>
      </c>
      <c r="AC88" s="18" t="e">
        <f t="shared" si="12"/>
        <v>#VALUE!</v>
      </c>
      <c r="AD88" s="19" t="str">
        <f t="shared" si="4"/>
        <v>10/2026</v>
      </c>
      <c r="AE88" s="17">
        <v>46281</v>
      </c>
      <c r="AF88" s="18">
        <f t="shared" si="10"/>
        <v>46462</v>
      </c>
      <c r="AG88" s="19" t="s">
        <v>75</v>
      </c>
      <c r="AH88" s="17">
        <v>46290</v>
      </c>
      <c r="AI88" s="18">
        <f t="shared" si="11"/>
        <v>46372</v>
      </c>
      <c r="AJ88" s="17" t="s">
        <v>75</v>
      </c>
      <c r="AK88" s="17" t="s">
        <v>75</v>
      </c>
      <c r="AL88" s="17"/>
      <c r="AM88" s="17" t="s">
        <v>75</v>
      </c>
      <c r="AN88" s="17" t="s">
        <v>75</v>
      </c>
      <c r="AO88" s="17"/>
      <c r="AP88" s="17" t="s">
        <v>75</v>
      </c>
      <c r="AQ88" s="17" t="s">
        <v>75</v>
      </c>
      <c r="AR88" s="17" t="s">
        <v>75</v>
      </c>
      <c r="AS88" s="13" t="str">
        <f ca="1">IF(OR(S88=0, S88=""), "No F1 deadline to compare", IF(T88&gt;0, IF(T88&gt;S88, "Filed after " &amp; (T88-S88) &amp; " days of deadline", "Filed within deadline"), IF(TODAY()&gt;S88, "Delayed by " &amp; (TODAY()-S88) &amp; " days", (S88-TODAY()) &amp; " days left")))</f>
        <v>Filed within deadline</v>
      </c>
      <c r="AT88" s="21" t="str">
        <f ca="1">IF(OR(TRIM(U88)="", U88=0), "No F26 deadline to compare", IF(AND(TRIM(V88)&lt;&gt;"", ISNUMBER(V88)), IF(V88&gt;U88, "Filed after " &amp; (V88-U88) &amp; " days of deadline", "Filed within deadline"), IF(TODAY()&gt;U88, "Delayed by " &amp; (TODAY()-U88) &amp; " days", (U88-TODAY()) &amp; " days left")))</f>
        <v>Filed within deadline</v>
      </c>
      <c r="AU88" s="22"/>
      <c r="AV88" s="22"/>
      <c r="AW88" s="22"/>
      <c r="AX88" s="21"/>
      <c r="AY88" s="22"/>
      <c r="AZ88" s="22"/>
      <c r="BA88" s="22"/>
      <c r="BB88" s="21"/>
      <c r="BC88" s="21"/>
      <c r="BD88" s="21"/>
      <c r="BE88" s="21"/>
      <c r="BF88" s="21"/>
      <c r="BG88" s="21"/>
      <c r="BH88" s="13" t="str">
        <f>IF(AND(AP88&lt;&gt;"",ISNUMBER(AP88)),"Patent Refused",IF(AND(AN88&lt;&gt;"",ISNUMBER(AN88)),"Patent Granted",IF(AND(AM88&lt;&gt;"",ISNUMBER(AM88)),"WS Filed",IF(AND(AND(AK88&lt;&gt;"",ISNUMBER(AK88)),NOT(AND(AM88&lt;&gt;"",ISNUMBER(AM88)))),"Hearing Attended - WS Not Filed",IF(AND(AND(AJ88&lt;&gt;"",ISNUMBER(AJ88)),NOT(AND(AK88&lt;&gt;"",ISNUMBER(AK88)))),"Hearing Issued",IF(AND(AG88&lt;&gt;"",ISNUMBER(AG88)),"FER Reply Filed",IF(AND(AND(AE88&lt;&gt;"",ISNUMBER(AE88)),NOT(AND(AG88&lt;&gt;"",ISNUMBER(AG88)))),"FER Received - Reply Not Filed",IF(AND(AB88&lt;&gt;"",ISNUMBER(AB88)),"Published",IF(AND(AND(X88&lt;&gt;"",ISNUMBER(X88)),AND(AA88&lt;&gt;"",ISNUMBER(AA88))),"F9 &amp; F18 Filed",IF(AND(NOT(AND(X88&lt;&gt;"",ISNUMBER(X88))),AND(AA88&lt;&gt;"",ISNUMBER(AA88))),"F9 Not Filed - F18 Filed",IF(AND(AND(X88&lt;&gt;"",ISNUMBER(X88)),NOT(AND(AA88&lt;&gt;"",ISNUMBER(AA88)))),"F9 Filed - F18 Not Filed",IF(AND(NOT(AND(L88&lt;&gt;"",ISNUMBER(L88))),AND(Q88&lt;&gt;"",ISNUMBER(Q88)),NOT(AND(X88&lt;&gt;"",ISNUMBER(X88))),NOT(AND(AA88&lt;&gt;"",ISNUMBER(AA88)))),"Direct CS Filed - F9 &amp; F18 Not Filed",IF(AND(AND(L88&lt;&gt;"",ISNUMBER(L88)),AND(Q88&lt;&gt;"",ISNUMBER(Q88)),NOT(AND(X88&lt;&gt;"",ISNUMBER(X88))),NOT(AND(AA88&lt;&gt;"",ISNUMBER(AA88)))),"PS-CS Filed - F9 &amp; F18 Not Filed",IF(AND(AND(L88&lt;&gt;"",ISNUMBER(L88)),NOT(AND(Q88&lt;&gt;"",ISNUMBER(Q88)))),"PS Filed - CS Not Filed","Not Started"))))))))))))))</f>
        <v>FER Received - Reply Not Filed</v>
      </c>
      <c r="BI88" s="23"/>
      <c r="BJ88" s="31"/>
      <c r="BK88" s="31"/>
    </row>
    <row r="89" spans="1:63" ht="138.75">
      <c r="A89" s="13" t="s">
        <v>477</v>
      </c>
      <c r="B89" s="14" t="s">
        <v>478</v>
      </c>
      <c r="C89" s="13" t="s">
        <v>96</v>
      </c>
      <c r="D89" s="13" t="s">
        <v>67</v>
      </c>
      <c r="E89" s="15" t="s">
        <v>543</v>
      </c>
      <c r="F89" s="13" t="s">
        <v>479</v>
      </c>
      <c r="G89" s="13" t="s">
        <v>480</v>
      </c>
      <c r="H89" s="13" t="s">
        <v>481</v>
      </c>
      <c r="I89" s="13" t="s">
        <v>482</v>
      </c>
      <c r="J89" s="13" t="s">
        <v>75</v>
      </c>
      <c r="K89" s="13">
        <v>202441103185</v>
      </c>
      <c r="L89" s="17">
        <v>45652</v>
      </c>
      <c r="M89" s="18"/>
      <c r="N89" s="18"/>
      <c r="O89" s="18" t="str">
        <f t="shared" si="8"/>
        <v>Not yet Postdated</v>
      </c>
      <c r="P89" s="18">
        <f t="shared" si="1"/>
        <v>46017</v>
      </c>
      <c r="Q89" s="17">
        <v>45740</v>
      </c>
      <c r="R89" s="18"/>
      <c r="S89" s="17">
        <f t="shared" si="2"/>
        <v>45834</v>
      </c>
      <c r="T89" s="17">
        <v>45653</v>
      </c>
      <c r="U89" s="17">
        <f t="shared" si="3"/>
        <v>45742</v>
      </c>
      <c r="V89" s="17">
        <v>45680</v>
      </c>
      <c r="W89" s="13" t="s">
        <v>89</v>
      </c>
      <c r="X89" s="17">
        <v>45774</v>
      </c>
      <c r="Y89" s="17"/>
      <c r="Z89" s="18"/>
      <c r="AA89" s="17">
        <v>45774</v>
      </c>
      <c r="AB89" s="17">
        <v>45779</v>
      </c>
      <c r="AC89" s="18" t="e">
        <f t="shared" si="12"/>
        <v>#VALUE!</v>
      </c>
      <c r="AD89" s="19" t="str">
        <f t="shared" si="4"/>
        <v>18/2025</v>
      </c>
      <c r="AE89" s="17">
        <v>46238</v>
      </c>
      <c r="AF89" s="18">
        <f t="shared" si="10"/>
        <v>46422</v>
      </c>
      <c r="AG89" s="19" t="s">
        <v>75</v>
      </c>
      <c r="AH89" s="17">
        <v>46258</v>
      </c>
      <c r="AI89" s="18">
        <f t="shared" si="11"/>
        <v>46330</v>
      </c>
      <c r="AJ89" s="17" t="s">
        <v>75</v>
      </c>
      <c r="AK89" s="17" t="s">
        <v>75</v>
      </c>
      <c r="AL89" s="17"/>
      <c r="AM89" s="17" t="s">
        <v>75</v>
      </c>
      <c r="AN89" s="17" t="s">
        <v>75</v>
      </c>
      <c r="AO89" s="17"/>
      <c r="AP89" s="17" t="s">
        <v>75</v>
      </c>
      <c r="AQ89" s="17" t="s">
        <v>75</v>
      </c>
      <c r="AR89" s="17" t="s">
        <v>75</v>
      </c>
      <c r="AS89" s="13" t="str">
        <f ca="1">IF(OR(S89=0, S89=""), "No F1 deadline to compare", IF(T89&gt;0, IF(T89&gt;S89, "Filed after " &amp; (T89-S89) &amp; " days of deadline", "Filed within deadline"), IF(TODAY()&gt;S89, "Delayed by " &amp; (TODAY()-S89) &amp; " days", (S89-TODAY()) &amp; " days left")))</f>
        <v>Filed within deadline</v>
      </c>
      <c r="AT89" s="21" t="str">
        <f ca="1">IF(OR(TRIM(U89)="", U89=0), "No F26 deadline to compare", IF(AND(TRIM(V89)&lt;&gt;"", ISNUMBER(V89)), IF(V89&gt;U89, "Filed after " &amp; (V89-U89) &amp; " days of deadline", "Filed within deadline"), IF(TODAY()&gt;U89, "Delayed by " &amp; (TODAY()-U89) &amp; " days", (U89-TODAY()) &amp; " days left")))</f>
        <v>Filed within deadline</v>
      </c>
      <c r="AU89" s="22"/>
      <c r="AV89" s="22"/>
      <c r="AW89" s="22"/>
      <c r="AX89" s="21"/>
      <c r="AY89" s="22"/>
      <c r="AZ89" s="22"/>
      <c r="BA89" s="22"/>
      <c r="BB89" s="21"/>
      <c r="BC89" s="21"/>
      <c r="BD89" s="21"/>
      <c r="BE89" s="21"/>
      <c r="BF89" s="21"/>
      <c r="BG89" s="21"/>
      <c r="BH89" s="13" t="str">
        <f>IF(AND(AP89&lt;&gt;"",ISNUMBER(AP89)),"Patent Refused",IF(AND(AN89&lt;&gt;"",ISNUMBER(AN89)),"Patent Granted",IF(AND(AM89&lt;&gt;"",ISNUMBER(AM89)),"WS Filed",IF(AND(AND(AK89&lt;&gt;"",ISNUMBER(AK89)),NOT(AND(AM89&lt;&gt;"",ISNUMBER(AM89)))),"Hearing Attended - WS Not Filed",IF(AND(AND(AJ89&lt;&gt;"",ISNUMBER(AJ89)),NOT(AND(AK89&lt;&gt;"",ISNUMBER(AK89)))),"Hearing Issued",IF(AND(AG89&lt;&gt;"",ISNUMBER(AG89)),"FER Reply Filed",IF(AND(AND(AE89&lt;&gt;"",ISNUMBER(AE89)),NOT(AND(AG89&lt;&gt;"",ISNUMBER(AG89)))),"FER Received - Reply Not Filed",IF(AND(AB89&lt;&gt;"",ISNUMBER(AB89)),"Published",IF(AND(AND(X89&lt;&gt;"",ISNUMBER(X89)),AND(AA89&lt;&gt;"",ISNUMBER(AA89))),"F9 &amp; F18 Filed",IF(AND(NOT(AND(X89&lt;&gt;"",ISNUMBER(X89))),AND(AA89&lt;&gt;"",ISNUMBER(AA89))),"F9 Not Filed - F18 Filed",IF(AND(AND(X89&lt;&gt;"",ISNUMBER(X89)),NOT(AND(AA89&lt;&gt;"",ISNUMBER(AA89)))),"F9 Filed - F18 Not Filed",IF(AND(NOT(AND(L89&lt;&gt;"",ISNUMBER(L89))),AND(Q89&lt;&gt;"",ISNUMBER(Q89)),NOT(AND(X89&lt;&gt;"",ISNUMBER(X89))),NOT(AND(AA89&lt;&gt;"",ISNUMBER(AA89)))),"Direct CS Filed - F9 &amp; F18 Not Filed",IF(AND(AND(L89&lt;&gt;"",ISNUMBER(L89)),AND(Q89&lt;&gt;"",ISNUMBER(Q89)),NOT(AND(X89&lt;&gt;"",ISNUMBER(X89))),NOT(AND(AA89&lt;&gt;"",ISNUMBER(AA89)))),"PS-CS Filed - F9 &amp; F18 Not Filed",IF(AND(AND(L89&lt;&gt;"",ISNUMBER(L89)),NOT(AND(Q89&lt;&gt;"",ISNUMBER(Q89)))),"PS Filed - CS Not Filed","Not Started"))))))))))))))</f>
        <v>FER Received - Reply Not Filed</v>
      </c>
      <c r="BI89" s="23"/>
      <c r="BJ89" s="31"/>
      <c r="BK89" s="31"/>
    </row>
    <row r="90" spans="1:63" ht="13.9">
      <c r="A90" s="13"/>
      <c r="B90" s="14"/>
      <c r="C90" s="13"/>
      <c r="D90" s="13"/>
      <c r="E90" s="15"/>
      <c r="F90" s="13"/>
      <c r="G90" s="13"/>
      <c r="H90" s="13"/>
      <c r="I90" s="13"/>
      <c r="J90" s="13"/>
      <c r="K90" s="13"/>
      <c r="L90" s="17"/>
      <c r="M90" s="18"/>
      <c r="N90" s="18"/>
      <c r="O90" s="18"/>
      <c r="P90" s="18"/>
      <c r="Q90" s="17"/>
      <c r="R90" s="18"/>
      <c r="S90" s="17"/>
      <c r="T90" s="17"/>
      <c r="U90" s="17"/>
      <c r="V90" s="17"/>
      <c r="W90" s="13"/>
      <c r="X90" s="17"/>
      <c r="Y90" s="17"/>
      <c r="Z90" s="18"/>
      <c r="AA90" s="17"/>
      <c r="AB90" s="17"/>
      <c r="AC90" s="18"/>
      <c r="AD90" s="19"/>
      <c r="AE90" s="17"/>
      <c r="AF90" s="18"/>
      <c r="AG90" s="19"/>
      <c r="AH90" s="17"/>
      <c r="AI90" s="18"/>
      <c r="AJ90" s="17"/>
      <c r="AK90" s="17"/>
      <c r="AL90" s="17"/>
      <c r="AM90" s="17"/>
      <c r="AN90" s="17"/>
      <c r="AO90" s="17"/>
      <c r="AP90" s="17"/>
      <c r="AQ90" s="17"/>
      <c r="AR90" s="17"/>
      <c r="AS90" s="13"/>
      <c r="AT90" s="21"/>
      <c r="AU90" s="22"/>
      <c r="AV90" s="22"/>
      <c r="AW90" s="22"/>
      <c r="AX90" s="21"/>
      <c r="AY90" s="22"/>
      <c r="AZ90" s="22"/>
      <c r="BA90" s="22"/>
      <c r="BB90" s="21"/>
      <c r="BC90" s="21"/>
      <c r="BD90" s="21"/>
      <c r="BE90" s="21"/>
      <c r="BF90" s="21"/>
      <c r="BG90" s="21"/>
      <c r="BH90" s="13"/>
      <c r="BI90" s="23"/>
      <c r="BJ90" s="31"/>
      <c r="BK90" s="31"/>
    </row>
    <row r="91" spans="1:63" ht="13.9">
      <c r="A91" s="13"/>
      <c r="B91" s="14"/>
      <c r="C91" s="13"/>
      <c r="D91" s="13"/>
      <c r="E91" s="15"/>
      <c r="F91" s="13"/>
      <c r="G91" s="13"/>
      <c r="H91" s="13"/>
      <c r="I91" s="13"/>
      <c r="J91" s="13"/>
      <c r="K91" s="13"/>
      <c r="L91" s="17"/>
      <c r="M91" s="18"/>
      <c r="N91" s="18"/>
      <c r="O91" s="18"/>
      <c r="P91" s="18"/>
      <c r="Q91" s="17"/>
      <c r="R91" s="18"/>
      <c r="S91" s="17"/>
      <c r="T91" s="17"/>
      <c r="U91" s="17"/>
      <c r="V91" s="17"/>
      <c r="W91" s="13"/>
      <c r="X91" s="17"/>
      <c r="Y91" s="17"/>
      <c r="Z91" s="18"/>
      <c r="AA91" s="17"/>
      <c r="AB91" s="17"/>
      <c r="AC91" s="18"/>
      <c r="AD91" s="19"/>
      <c r="AE91" s="17"/>
      <c r="AF91" s="18"/>
      <c r="AG91" s="19"/>
      <c r="AH91" s="17"/>
      <c r="AI91" s="18"/>
      <c r="AJ91" s="17"/>
      <c r="AK91" s="17"/>
      <c r="AL91" s="17"/>
      <c r="AM91" s="17"/>
      <c r="AN91" s="17"/>
      <c r="AO91" s="17"/>
      <c r="AP91" s="17"/>
      <c r="AQ91" s="17"/>
      <c r="AR91" s="17"/>
      <c r="AS91" s="13"/>
      <c r="AT91" s="21"/>
      <c r="AU91" s="22"/>
      <c r="AV91" s="22"/>
      <c r="AW91" s="22"/>
      <c r="AX91" s="21"/>
      <c r="AY91" s="22"/>
      <c r="AZ91" s="22"/>
      <c r="BA91" s="22"/>
      <c r="BB91" s="21"/>
      <c r="BC91" s="21"/>
      <c r="BD91" s="21"/>
      <c r="BE91" s="21"/>
      <c r="BF91" s="21"/>
      <c r="BG91" s="21"/>
      <c r="BH91" s="13"/>
      <c r="BI91" s="23"/>
      <c r="BJ91" s="31"/>
      <c r="BK91" s="31"/>
    </row>
    <row r="92" spans="1:63" ht="13.9">
      <c r="A92" s="13"/>
      <c r="B92" s="14"/>
      <c r="C92" s="13"/>
      <c r="D92" s="13"/>
      <c r="E92" s="15"/>
      <c r="F92" s="13"/>
      <c r="G92" s="13"/>
      <c r="H92" s="13"/>
      <c r="I92" s="13"/>
      <c r="J92" s="13"/>
      <c r="K92" s="13"/>
      <c r="L92" s="17"/>
      <c r="M92" s="18"/>
      <c r="N92" s="18"/>
      <c r="O92" s="18"/>
      <c r="P92" s="18"/>
      <c r="Q92" s="17"/>
      <c r="R92" s="18"/>
      <c r="S92" s="17"/>
      <c r="T92" s="17"/>
      <c r="U92" s="17"/>
      <c r="V92" s="17"/>
      <c r="W92" s="13"/>
      <c r="X92" s="17"/>
      <c r="Y92" s="17"/>
      <c r="Z92" s="18"/>
      <c r="AA92" s="17"/>
      <c r="AB92" s="17"/>
      <c r="AC92" s="18"/>
      <c r="AD92" s="19"/>
      <c r="AE92" s="17"/>
      <c r="AF92" s="18"/>
      <c r="AG92" s="19"/>
      <c r="AH92" s="17"/>
      <c r="AI92" s="18"/>
      <c r="AJ92" s="17"/>
      <c r="AK92" s="17"/>
      <c r="AL92" s="17"/>
      <c r="AM92" s="17"/>
      <c r="AN92" s="17"/>
      <c r="AO92" s="17"/>
      <c r="AP92" s="17"/>
      <c r="AQ92" s="17"/>
      <c r="AR92" s="17"/>
      <c r="AS92" s="13"/>
      <c r="AT92" s="21"/>
      <c r="AU92" s="22"/>
      <c r="AV92" s="22"/>
      <c r="AW92" s="22"/>
      <c r="AX92" s="21"/>
      <c r="AY92" s="22"/>
      <c r="AZ92" s="22"/>
      <c r="BA92" s="22"/>
      <c r="BB92" s="21"/>
      <c r="BC92" s="21"/>
      <c r="BD92" s="21"/>
      <c r="BE92" s="21"/>
      <c r="BF92" s="21"/>
      <c r="BG92" s="21"/>
      <c r="BH92" s="13"/>
      <c r="BI92" s="23"/>
      <c r="BJ92" s="31"/>
      <c r="BK92" s="31"/>
    </row>
    <row r="93" spans="1:63" ht="13.9">
      <c r="A93" s="13"/>
      <c r="B93" s="14"/>
      <c r="C93" s="13"/>
      <c r="D93" s="13"/>
      <c r="E93" s="15"/>
      <c r="F93" s="13"/>
      <c r="G93" s="13"/>
      <c r="H93" s="13"/>
      <c r="I93" s="13"/>
      <c r="J93" s="13"/>
      <c r="K93" s="13"/>
      <c r="L93" s="17"/>
      <c r="M93" s="18"/>
      <c r="N93" s="18"/>
      <c r="O93" s="18"/>
      <c r="P93" s="18"/>
      <c r="Q93" s="17"/>
      <c r="R93" s="18"/>
      <c r="S93" s="17"/>
      <c r="T93" s="17"/>
      <c r="U93" s="17"/>
      <c r="V93" s="17"/>
      <c r="W93" s="13"/>
      <c r="X93" s="17"/>
      <c r="Y93" s="17"/>
      <c r="Z93" s="18"/>
      <c r="AA93" s="17"/>
      <c r="AB93" s="17"/>
      <c r="AC93" s="18"/>
      <c r="AD93" s="19"/>
      <c r="AE93" s="17"/>
      <c r="AF93" s="18"/>
      <c r="AG93" s="19"/>
      <c r="AH93" s="17"/>
      <c r="AI93" s="18"/>
      <c r="AJ93" s="17"/>
      <c r="AK93" s="17"/>
      <c r="AL93" s="17"/>
      <c r="AM93" s="17"/>
      <c r="AN93" s="17"/>
      <c r="AO93" s="17"/>
      <c r="AP93" s="17"/>
      <c r="AQ93" s="17"/>
      <c r="AR93" s="17"/>
      <c r="AS93" s="13"/>
      <c r="AT93" s="21"/>
      <c r="AU93" s="22"/>
      <c r="AV93" s="22"/>
      <c r="AW93" s="22"/>
      <c r="AX93" s="21"/>
      <c r="AY93" s="22"/>
      <c r="AZ93" s="22"/>
      <c r="BA93" s="22"/>
      <c r="BB93" s="21"/>
      <c r="BC93" s="21"/>
      <c r="BD93" s="21"/>
      <c r="BE93" s="21"/>
      <c r="BF93" s="21"/>
      <c r="BG93" s="21"/>
      <c r="BH93" s="13"/>
      <c r="BI93" s="23"/>
      <c r="BJ93" s="31"/>
      <c r="BK93" s="31"/>
    </row>
    <row r="94" spans="1:63" ht="13.9">
      <c r="A94" s="13"/>
      <c r="B94" s="14"/>
      <c r="C94" s="13"/>
      <c r="D94" s="13"/>
      <c r="E94" s="15"/>
      <c r="F94" s="13"/>
      <c r="G94" s="13"/>
      <c r="H94" s="13"/>
      <c r="I94" s="13"/>
      <c r="J94" s="13"/>
      <c r="K94" s="13"/>
      <c r="L94" s="17"/>
      <c r="M94" s="18"/>
      <c r="N94" s="18"/>
      <c r="O94" s="18"/>
      <c r="P94" s="18"/>
      <c r="Q94" s="17"/>
      <c r="R94" s="18"/>
      <c r="S94" s="17"/>
      <c r="T94" s="17"/>
      <c r="U94" s="17"/>
      <c r="V94" s="17"/>
      <c r="W94" s="13"/>
      <c r="X94" s="17"/>
      <c r="Y94" s="17"/>
      <c r="Z94" s="18"/>
      <c r="AA94" s="17"/>
      <c r="AB94" s="17"/>
      <c r="AC94" s="18"/>
      <c r="AD94" s="19"/>
      <c r="AE94" s="17"/>
      <c r="AF94" s="18"/>
      <c r="AG94" s="19"/>
      <c r="AH94" s="17"/>
      <c r="AI94" s="18"/>
      <c r="AJ94" s="17"/>
      <c r="AK94" s="17"/>
      <c r="AL94" s="17"/>
      <c r="AM94" s="17"/>
      <c r="AN94" s="17"/>
      <c r="AO94" s="17"/>
      <c r="AP94" s="17"/>
      <c r="AQ94" s="17"/>
      <c r="AR94" s="17"/>
      <c r="AS94" s="13"/>
      <c r="AT94" s="21"/>
      <c r="AU94" s="22"/>
      <c r="AV94" s="22"/>
      <c r="AW94" s="22"/>
      <c r="AX94" s="21"/>
      <c r="AY94" s="22"/>
      <c r="AZ94" s="22"/>
      <c r="BA94" s="22"/>
      <c r="BB94" s="21"/>
      <c r="BC94" s="21"/>
      <c r="BD94" s="21"/>
      <c r="BE94" s="21"/>
      <c r="BF94" s="21"/>
      <c r="BG94" s="21"/>
      <c r="BH94" s="13"/>
      <c r="BI94" s="23"/>
      <c r="BJ94" s="31"/>
      <c r="BK94" s="31"/>
    </row>
    <row r="95" spans="1:63" ht="13.9">
      <c r="A95" s="13"/>
      <c r="B95" s="14"/>
      <c r="C95" s="13"/>
      <c r="D95" s="13"/>
      <c r="E95" s="15"/>
      <c r="F95" s="13"/>
      <c r="G95" s="13"/>
      <c r="H95" s="13"/>
      <c r="I95" s="13"/>
      <c r="J95" s="13"/>
      <c r="K95" s="13"/>
      <c r="L95" s="17"/>
      <c r="M95" s="18"/>
      <c r="N95" s="18"/>
      <c r="O95" s="18"/>
      <c r="P95" s="18"/>
      <c r="Q95" s="17"/>
      <c r="R95" s="18"/>
      <c r="S95" s="17"/>
      <c r="T95" s="17"/>
      <c r="U95" s="17"/>
      <c r="V95" s="17"/>
      <c r="W95" s="13"/>
      <c r="X95" s="17"/>
      <c r="Y95" s="17"/>
      <c r="Z95" s="18"/>
      <c r="AA95" s="17"/>
      <c r="AB95" s="17"/>
      <c r="AC95" s="18"/>
      <c r="AD95" s="19"/>
      <c r="AE95" s="17"/>
      <c r="AF95" s="18"/>
      <c r="AG95" s="19"/>
      <c r="AH95" s="17"/>
      <c r="AI95" s="18"/>
      <c r="AJ95" s="17"/>
      <c r="AK95" s="17"/>
      <c r="AL95" s="17"/>
      <c r="AM95" s="17"/>
      <c r="AN95" s="17"/>
      <c r="AO95" s="17"/>
      <c r="AP95" s="17"/>
      <c r="AQ95" s="17"/>
      <c r="AR95" s="17"/>
      <c r="AS95" s="13"/>
      <c r="AT95" s="21"/>
      <c r="AU95" s="22"/>
      <c r="AV95" s="22"/>
      <c r="AW95" s="22"/>
      <c r="AX95" s="21"/>
      <c r="AY95" s="22"/>
      <c r="AZ95" s="22"/>
      <c r="BA95" s="22"/>
      <c r="BB95" s="21"/>
      <c r="BC95" s="21"/>
      <c r="BD95" s="21"/>
      <c r="BE95" s="21"/>
      <c r="BF95" s="21"/>
      <c r="BG95" s="21"/>
      <c r="BH95" s="13"/>
      <c r="BI95" s="23"/>
      <c r="BJ95" s="31"/>
      <c r="BK95" s="31"/>
    </row>
    <row r="96" spans="1:63" ht="13.9">
      <c r="A96" s="13"/>
      <c r="B96" s="14"/>
      <c r="C96" s="13"/>
      <c r="D96" s="13"/>
      <c r="E96" s="15"/>
      <c r="F96" s="13"/>
      <c r="G96" s="13"/>
      <c r="H96" s="13"/>
      <c r="I96" s="13"/>
      <c r="J96" s="13"/>
      <c r="K96" s="13"/>
      <c r="L96" s="17"/>
      <c r="M96" s="18"/>
      <c r="N96" s="18"/>
      <c r="O96" s="18"/>
      <c r="P96" s="18"/>
      <c r="Q96" s="17"/>
      <c r="R96" s="18"/>
      <c r="S96" s="17"/>
      <c r="T96" s="17"/>
      <c r="U96" s="17"/>
      <c r="V96" s="17"/>
      <c r="W96" s="13"/>
      <c r="X96" s="17"/>
      <c r="Y96" s="17"/>
      <c r="Z96" s="18"/>
      <c r="AA96" s="17"/>
      <c r="AB96" s="17"/>
      <c r="AC96" s="18"/>
      <c r="AD96" s="19"/>
      <c r="AE96" s="17"/>
      <c r="AF96" s="18"/>
      <c r="AG96" s="19"/>
      <c r="AH96" s="17"/>
      <c r="AI96" s="18"/>
      <c r="AJ96" s="17"/>
      <c r="AK96" s="17"/>
      <c r="AL96" s="17"/>
      <c r="AM96" s="17"/>
      <c r="AN96" s="17"/>
      <c r="AO96" s="17"/>
      <c r="AP96" s="17"/>
      <c r="AQ96" s="17"/>
      <c r="AR96" s="17"/>
      <c r="AS96" s="13"/>
      <c r="AT96" s="21"/>
      <c r="AU96" s="22"/>
      <c r="AV96" s="22"/>
      <c r="AW96" s="22"/>
      <c r="AX96" s="21"/>
      <c r="AY96" s="22"/>
      <c r="AZ96" s="22"/>
      <c r="BA96" s="22"/>
      <c r="BB96" s="21"/>
      <c r="BC96" s="21"/>
      <c r="BD96" s="21"/>
      <c r="BE96" s="21"/>
      <c r="BF96" s="21"/>
      <c r="BG96" s="21"/>
      <c r="BH96" s="13"/>
      <c r="BI96" s="23"/>
      <c r="BJ96" s="31"/>
      <c r="BK96" s="31"/>
    </row>
    <row r="97" spans="1:63" ht="13.9">
      <c r="A97" s="13"/>
      <c r="B97" s="14"/>
      <c r="C97" s="13"/>
      <c r="D97" s="13"/>
      <c r="E97" s="15"/>
      <c r="F97" s="13"/>
      <c r="G97" s="13"/>
      <c r="H97" s="13"/>
      <c r="I97" s="13"/>
      <c r="J97" s="13"/>
      <c r="K97" s="13"/>
      <c r="L97" s="17"/>
      <c r="M97" s="18"/>
      <c r="N97" s="18"/>
      <c r="O97" s="18"/>
      <c r="P97" s="18"/>
      <c r="Q97" s="17"/>
      <c r="R97" s="18"/>
      <c r="S97" s="17"/>
      <c r="T97" s="17"/>
      <c r="U97" s="17"/>
      <c r="V97" s="17"/>
      <c r="W97" s="13"/>
      <c r="X97" s="17"/>
      <c r="Y97" s="17"/>
      <c r="Z97" s="18"/>
      <c r="AA97" s="17"/>
      <c r="AB97" s="17"/>
      <c r="AC97" s="18"/>
      <c r="AD97" s="19"/>
      <c r="AE97" s="17"/>
      <c r="AF97" s="18"/>
      <c r="AG97" s="19"/>
      <c r="AH97" s="17"/>
      <c r="AI97" s="18"/>
      <c r="AJ97" s="17"/>
      <c r="AK97" s="17"/>
      <c r="AL97" s="17"/>
      <c r="AM97" s="17"/>
      <c r="AN97" s="17"/>
      <c r="AO97" s="17"/>
      <c r="AP97" s="17"/>
      <c r="AQ97" s="17"/>
      <c r="AR97" s="17"/>
      <c r="AS97" s="13"/>
      <c r="AT97" s="21"/>
      <c r="AU97" s="22"/>
      <c r="AV97" s="22"/>
      <c r="AW97" s="22"/>
      <c r="AX97" s="21"/>
      <c r="AY97" s="22"/>
      <c r="AZ97" s="22"/>
      <c r="BA97" s="22"/>
      <c r="BB97" s="21"/>
      <c r="BC97" s="21"/>
      <c r="BD97" s="21"/>
      <c r="BE97" s="21"/>
      <c r="BF97" s="21"/>
      <c r="BG97" s="21"/>
      <c r="BH97" s="13"/>
      <c r="BI97" s="23"/>
      <c r="BJ97" s="31"/>
      <c r="BK97" s="31"/>
    </row>
    <row r="98" spans="1:63" ht="13.9">
      <c r="A98" s="13"/>
      <c r="B98" s="14"/>
      <c r="C98" s="13"/>
      <c r="D98" s="13"/>
      <c r="E98" s="15"/>
      <c r="F98" s="13"/>
      <c r="G98" s="13"/>
      <c r="H98" s="13"/>
      <c r="I98" s="13"/>
      <c r="J98" s="13"/>
      <c r="K98" s="13"/>
      <c r="L98" s="17"/>
      <c r="M98" s="18"/>
      <c r="N98" s="18"/>
      <c r="O98" s="18"/>
      <c r="P98" s="18"/>
      <c r="Q98" s="17"/>
      <c r="R98" s="18"/>
      <c r="S98" s="17"/>
      <c r="T98" s="17"/>
      <c r="U98" s="17"/>
      <c r="V98" s="17"/>
      <c r="W98" s="13"/>
      <c r="X98" s="17"/>
      <c r="Y98" s="17"/>
      <c r="Z98" s="18"/>
      <c r="AA98" s="17"/>
      <c r="AB98" s="17"/>
      <c r="AC98" s="18"/>
      <c r="AD98" s="19"/>
      <c r="AE98" s="17"/>
      <c r="AF98" s="18"/>
      <c r="AG98" s="19"/>
      <c r="AH98" s="17"/>
      <c r="AI98" s="18"/>
      <c r="AJ98" s="17"/>
      <c r="AK98" s="17"/>
      <c r="AL98" s="17"/>
      <c r="AM98" s="17"/>
      <c r="AN98" s="17"/>
      <c r="AO98" s="17"/>
      <c r="AP98" s="17"/>
      <c r="AQ98" s="17"/>
      <c r="AR98" s="17"/>
      <c r="AS98" s="13"/>
      <c r="AT98" s="21"/>
      <c r="AU98" s="22"/>
      <c r="AV98" s="22"/>
      <c r="AW98" s="22"/>
      <c r="AX98" s="21"/>
      <c r="AY98" s="22"/>
      <c r="AZ98" s="22"/>
      <c r="BA98" s="22"/>
      <c r="BB98" s="21"/>
      <c r="BC98" s="21"/>
      <c r="BD98" s="21"/>
      <c r="BE98" s="21"/>
      <c r="BF98" s="21"/>
      <c r="BG98" s="21"/>
      <c r="BH98" s="13"/>
      <c r="BI98" s="23"/>
      <c r="BJ98" s="31"/>
      <c r="BK98" s="31"/>
    </row>
    <row r="99" spans="1:63" ht="13.9">
      <c r="A99" s="13"/>
      <c r="B99" s="14"/>
      <c r="C99" s="13"/>
      <c r="D99" s="13"/>
      <c r="E99" s="15"/>
      <c r="F99" s="13"/>
      <c r="G99" s="13"/>
      <c r="H99" s="13"/>
      <c r="I99" s="13"/>
      <c r="J99" s="13"/>
      <c r="K99" s="13"/>
      <c r="L99" s="17"/>
      <c r="M99" s="18"/>
      <c r="N99" s="18"/>
      <c r="O99" s="18"/>
      <c r="P99" s="18"/>
      <c r="Q99" s="17"/>
      <c r="R99" s="18"/>
      <c r="S99" s="17"/>
      <c r="T99" s="17"/>
      <c r="U99" s="17"/>
      <c r="V99" s="17"/>
      <c r="W99" s="13"/>
      <c r="X99" s="17"/>
      <c r="Y99" s="17"/>
      <c r="Z99" s="18"/>
      <c r="AA99" s="17"/>
      <c r="AB99" s="17"/>
      <c r="AC99" s="18"/>
      <c r="AD99" s="19"/>
      <c r="AE99" s="17"/>
      <c r="AF99" s="18"/>
      <c r="AG99" s="19"/>
      <c r="AH99" s="17"/>
      <c r="AI99" s="18"/>
      <c r="AJ99" s="17"/>
      <c r="AK99" s="17"/>
      <c r="AL99" s="17"/>
      <c r="AM99" s="17"/>
      <c r="AN99" s="17"/>
      <c r="AO99" s="17"/>
      <c r="AP99" s="17"/>
      <c r="AQ99" s="17"/>
      <c r="AR99" s="17"/>
      <c r="AS99" s="13"/>
      <c r="AT99" s="21"/>
      <c r="AU99" s="22"/>
      <c r="AV99" s="22"/>
      <c r="AW99" s="22"/>
      <c r="AX99" s="21"/>
      <c r="AY99" s="22"/>
      <c r="AZ99" s="22"/>
      <c r="BA99" s="22"/>
      <c r="BB99" s="21"/>
      <c r="BC99" s="21"/>
      <c r="BD99" s="21"/>
      <c r="BE99" s="21"/>
      <c r="BF99" s="21"/>
      <c r="BG99" s="21"/>
      <c r="BH99" s="13"/>
      <c r="BI99" s="23"/>
      <c r="BJ99" s="31"/>
      <c r="BK99" s="31"/>
    </row>
    <row r="100" spans="1:63" ht="13.9">
      <c r="A100" s="13"/>
      <c r="B100" s="14"/>
      <c r="C100" s="13"/>
      <c r="D100" s="13"/>
      <c r="E100" s="15"/>
      <c r="F100" s="13"/>
      <c r="G100" s="13"/>
      <c r="H100" s="13"/>
      <c r="I100" s="13"/>
      <c r="J100" s="13"/>
      <c r="K100" s="13"/>
      <c r="L100" s="17"/>
      <c r="M100" s="18"/>
      <c r="N100" s="18"/>
      <c r="O100" s="18"/>
      <c r="P100" s="18"/>
      <c r="Q100" s="17"/>
      <c r="R100" s="18"/>
      <c r="S100" s="17"/>
      <c r="T100" s="17"/>
      <c r="U100" s="17"/>
      <c r="V100" s="17"/>
      <c r="W100" s="13"/>
      <c r="X100" s="17"/>
      <c r="Y100" s="17"/>
      <c r="Z100" s="18"/>
      <c r="AA100" s="17"/>
      <c r="AB100" s="17"/>
      <c r="AC100" s="18"/>
      <c r="AD100" s="19"/>
      <c r="AE100" s="17"/>
      <c r="AF100" s="18"/>
      <c r="AG100" s="19"/>
      <c r="AH100" s="17"/>
      <c r="AI100" s="18"/>
      <c r="AJ100" s="17"/>
      <c r="AK100" s="17"/>
      <c r="AL100" s="17"/>
      <c r="AM100" s="17"/>
      <c r="AN100" s="17"/>
      <c r="AO100" s="17"/>
      <c r="AP100" s="17"/>
      <c r="AQ100" s="17"/>
      <c r="AR100" s="17"/>
      <c r="AS100" s="13"/>
      <c r="AT100" s="21"/>
      <c r="AU100" s="22"/>
      <c r="AV100" s="22"/>
      <c r="AW100" s="22"/>
      <c r="AX100" s="21"/>
      <c r="AY100" s="22"/>
      <c r="AZ100" s="22"/>
      <c r="BA100" s="22"/>
      <c r="BB100" s="21"/>
      <c r="BC100" s="21"/>
      <c r="BD100" s="21"/>
      <c r="BE100" s="21"/>
      <c r="BF100" s="21"/>
      <c r="BG100" s="21"/>
      <c r="BH100" s="13"/>
      <c r="BI100" s="23"/>
      <c r="BJ100" s="31"/>
      <c r="BK100" s="31"/>
    </row>
    <row r="101" spans="1:63" ht="13.9">
      <c r="A101" s="13"/>
      <c r="B101" s="14"/>
      <c r="C101" s="13"/>
      <c r="D101" s="13"/>
      <c r="E101" s="15"/>
      <c r="F101" s="13"/>
      <c r="G101" s="13"/>
      <c r="H101" s="13"/>
      <c r="I101" s="13"/>
      <c r="J101" s="13"/>
      <c r="K101" s="13"/>
      <c r="L101" s="17"/>
      <c r="M101" s="18"/>
      <c r="N101" s="18"/>
      <c r="O101" s="18"/>
      <c r="P101" s="18"/>
      <c r="Q101" s="17"/>
      <c r="R101" s="18"/>
      <c r="S101" s="17"/>
      <c r="T101" s="17"/>
      <c r="U101" s="17"/>
      <c r="V101" s="17"/>
      <c r="W101" s="13"/>
      <c r="X101" s="17"/>
      <c r="Y101" s="17"/>
      <c r="Z101" s="18"/>
      <c r="AA101" s="17"/>
      <c r="AB101" s="17"/>
      <c r="AC101" s="18"/>
      <c r="AD101" s="19"/>
      <c r="AE101" s="17"/>
      <c r="AF101" s="18"/>
      <c r="AG101" s="19"/>
      <c r="AH101" s="17"/>
      <c r="AI101" s="18"/>
      <c r="AJ101" s="17"/>
      <c r="AK101" s="17"/>
      <c r="AL101" s="17"/>
      <c r="AM101" s="17"/>
      <c r="AN101" s="17"/>
      <c r="AO101" s="17"/>
      <c r="AP101" s="17"/>
      <c r="AQ101" s="17"/>
      <c r="AR101" s="17"/>
      <c r="AS101" s="13"/>
      <c r="AT101" s="21"/>
      <c r="AU101" s="22"/>
      <c r="AV101" s="22"/>
      <c r="AW101" s="22"/>
      <c r="AX101" s="21"/>
      <c r="AY101" s="22"/>
      <c r="AZ101" s="22"/>
      <c r="BA101" s="22"/>
      <c r="BB101" s="21"/>
      <c r="BC101" s="21"/>
      <c r="BD101" s="21"/>
      <c r="BE101" s="21"/>
      <c r="BF101" s="21"/>
      <c r="BG101" s="21"/>
      <c r="BH101" s="13"/>
      <c r="BI101" s="23"/>
      <c r="BJ101" s="31"/>
      <c r="BK101" s="31"/>
    </row>
    <row r="102" spans="1:63" ht="13.9">
      <c r="A102" s="13"/>
      <c r="B102" s="14"/>
      <c r="C102" s="13"/>
      <c r="D102" s="13"/>
      <c r="E102" s="15"/>
      <c r="F102" s="13"/>
      <c r="G102" s="13"/>
      <c r="H102" s="13"/>
      <c r="I102" s="13"/>
      <c r="J102" s="13"/>
      <c r="K102" s="13"/>
      <c r="L102" s="17"/>
      <c r="M102" s="18"/>
      <c r="N102" s="18"/>
      <c r="O102" s="18"/>
      <c r="P102" s="18"/>
      <c r="Q102" s="17"/>
      <c r="R102" s="18"/>
      <c r="S102" s="17"/>
      <c r="T102" s="17"/>
      <c r="U102" s="17"/>
      <c r="V102" s="17"/>
      <c r="W102" s="13"/>
      <c r="X102" s="17"/>
      <c r="Y102" s="17"/>
      <c r="Z102" s="18"/>
      <c r="AA102" s="17"/>
      <c r="AB102" s="17"/>
      <c r="AC102" s="18"/>
      <c r="AD102" s="19"/>
      <c r="AE102" s="17"/>
      <c r="AF102" s="18"/>
      <c r="AG102" s="19"/>
      <c r="AH102" s="17"/>
      <c r="AI102" s="18"/>
      <c r="AJ102" s="17"/>
      <c r="AK102" s="17"/>
      <c r="AL102" s="17"/>
      <c r="AM102" s="17"/>
      <c r="AN102" s="17"/>
      <c r="AO102" s="17"/>
      <c r="AP102" s="17"/>
      <c r="AQ102" s="17"/>
      <c r="AR102" s="17"/>
      <c r="AS102" s="13"/>
      <c r="AT102" s="21"/>
      <c r="AU102" s="22"/>
      <c r="AV102" s="22"/>
      <c r="AW102" s="22"/>
      <c r="AX102" s="21"/>
      <c r="AY102" s="22"/>
      <c r="AZ102" s="22"/>
      <c r="BA102" s="22"/>
      <c r="BB102" s="21"/>
      <c r="BC102" s="21"/>
      <c r="BD102" s="21"/>
      <c r="BE102" s="21"/>
      <c r="BF102" s="21"/>
      <c r="BG102" s="21"/>
      <c r="BH102" s="13"/>
      <c r="BI102" s="23"/>
      <c r="BJ102" s="31"/>
      <c r="BK102" s="31"/>
    </row>
    <row r="103" spans="1:63" ht="13.9">
      <c r="A103" s="13"/>
      <c r="B103" s="14"/>
      <c r="C103" s="13"/>
      <c r="D103" s="13"/>
      <c r="E103" s="15"/>
      <c r="F103" s="13"/>
      <c r="G103" s="13"/>
      <c r="H103" s="13"/>
      <c r="I103" s="13"/>
      <c r="J103" s="13"/>
      <c r="K103" s="13"/>
      <c r="L103" s="17"/>
      <c r="M103" s="18"/>
      <c r="N103" s="18"/>
      <c r="O103" s="18"/>
      <c r="P103" s="18"/>
      <c r="Q103" s="17"/>
      <c r="R103" s="18"/>
      <c r="S103" s="17"/>
      <c r="T103" s="17"/>
      <c r="U103" s="17"/>
      <c r="V103" s="17"/>
      <c r="W103" s="13"/>
      <c r="X103" s="17"/>
      <c r="Y103" s="17"/>
      <c r="Z103" s="18"/>
      <c r="AA103" s="17"/>
      <c r="AB103" s="17"/>
      <c r="AC103" s="18"/>
      <c r="AD103" s="19"/>
      <c r="AE103" s="17"/>
      <c r="AF103" s="18"/>
      <c r="AG103" s="19"/>
      <c r="AH103" s="17"/>
      <c r="AI103" s="18"/>
      <c r="AJ103" s="17"/>
      <c r="AK103" s="17"/>
      <c r="AL103" s="17"/>
      <c r="AM103" s="17"/>
      <c r="AN103" s="17"/>
      <c r="AO103" s="17"/>
      <c r="AP103" s="17"/>
      <c r="AQ103" s="17"/>
      <c r="AR103" s="17"/>
      <c r="AS103" s="13"/>
      <c r="AT103" s="21"/>
      <c r="AU103" s="22"/>
      <c r="AV103" s="22"/>
      <c r="AW103" s="22"/>
      <c r="AX103" s="21"/>
      <c r="AY103" s="22"/>
      <c r="AZ103" s="22"/>
      <c r="BA103" s="22"/>
      <c r="BB103" s="21"/>
      <c r="BC103" s="21"/>
      <c r="BD103" s="21"/>
      <c r="BE103" s="21"/>
      <c r="BF103" s="21"/>
      <c r="BG103" s="21"/>
      <c r="BH103" s="13"/>
      <c r="BI103" s="23"/>
      <c r="BJ103" s="31"/>
      <c r="BK103" s="31"/>
    </row>
    <row r="104" spans="1:63" ht="13.9">
      <c r="A104" s="13"/>
      <c r="B104" s="14"/>
      <c r="C104" s="13"/>
      <c r="D104" s="13"/>
      <c r="E104" s="15"/>
      <c r="F104" s="13"/>
      <c r="G104" s="13"/>
      <c r="H104" s="13"/>
      <c r="I104" s="13"/>
      <c r="J104" s="13"/>
      <c r="K104" s="13"/>
      <c r="L104" s="17"/>
      <c r="M104" s="18"/>
      <c r="N104" s="18"/>
      <c r="O104" s="18"/>
      <c r="P104" s="18"/>
      <c r="Q104" s="17"/>
      <c r="R104" s="18"/>
      <c r="S104" s="17"/>
      <c r="T104" s="17"/>
      <c r="U104" s="17"/>
      <c r="V104" s="17"/>
      <c r="W104" s="13"/>
      <c r="X104" s="17"/>
      <c r="Y104" s="17"/>
      <c r="Z104" s="18"/>
      <c r="AA104" s="17"/>
      <c r="AB104" s="17"/>
      <c r="AC104" s="18"/>
      <c r="AD104" s="19"/>
      <c r="AE104" s="17"/>
      <c r="AF104" s="18"/>
      <c r="AG104" s="19"/>
      <c r="AH104" s="17"/>
      <c r="AI104" s="18"/>
      <c r="AJ104" s="17"/>
      <c r="AK104" s="17"/>
      <c r="AL104" s="17"/>
      <c r="AM104" s="17"/>
      <c r="AN104" s="17"/>
      <c r="AO104" s="17"/>
      <c r="AP104" s="17"/>
      <c r="AQ104" s="17"/>
      <c r="AR104" s="17"/>
      <c r="AS104" s="13"/>
      <c r="AT104" s="21"/>
      <c r="AU104" s="22"/>
      <c r="AV104" s="22"/>
      <c r="AW104" s="22"/>
      <c r="AX104" s="21"/>
      <c r="AY104" s="22"/>
      <c r="AZ104" s="22"/>
      <c r="BA104" s="22"/>
      <c r="BB104" s="21"/>
      <c r="BC104" s="21"/>
      <c r="BD104" s="21"/>
      <c r="BE104" s="21"/>
      <c r="BF104" s="21"/>
      <c r="BG104" s="21"/>
      <c r="BH104" s="13"/>
      <c r="BI104" s="23"/>
      <c r="BJ104" s="31"/>
      <c r="BK104" s="31"/>
    </row>
    <row r="105" spans="1:63" ht="13.9">
      <c r="A105" s="13"/>
      <c r="B105" s="14"/>
      <c r="C105" s="13"/>
      <c r="D105" s="13"/>
      <c r="E105" s="15"/>
      <c r="F105" s="13"/>
      <c r="G105" s="13"/>
      <c r="H105" s="13"/>
      <c r="I105" s="13"/>
      <c r="J105" s="13"/>
      <c r="K105" s="13"/>
      <c r="L105" s="17"/>
      <c r="M105" s="18"/>
      <c r="N105" s="18"/>
      <c r="O105" s="18"/>
      <c r="P105" s="18"/>
      <c r="Q105" s="17"/>
      <c r="R105" s="18"/>
      <c r="S105" s="17"/>
      <c r="T105" s="17"/>
      <c r="U105" s="17"/>
      <c r="V105" s="17"/>
      <c r="W105" s="13"/>
      <c r="X105" s="17"/>
      <c r="Y105" s="17"/>
      <c r="Z105" s="18"/>
      <c r="AA105" s="17"/>
      <c r="AB105" s="17"/>
      <c r="AC105" s="18"/>
      <c r="AD105" s="19"/>
      <c r="AE105" s="17"/>
      <c r="AF105" s="18"/>
      <c r="AG105" s="19"/>
      <c r="AH105" s="17"/>
      <c r="AI105" s="18"/>
      <c r="AJ105" s="17"/>
      <c r="AK105" s="17"/>
      <c r="AL105" s="17"/>
      <c r="AM105" s="17"/>
      <c r="AN105" s="17"/>
      <c r="AO105" s="17"/>
      <c r="AP105" s="17"/>
      <c r="AQ105" s="17"/>
      <c r="AR105" s="17"/>
      <c r="AS105" s="13"/>
      <c r="AT105" s="21"/>
      <c r="AU105" s="22"/>
      <c r="AV105" s="22"/>
      <c r="AW105" s="22"/>
      <c r="AX105" s="21"/>
      <c r="AY105" s="22"/>
      <c r="AZ105" s="22"/>
      <c r="BA105" s="22"/>
      <c r="BB105" s="21"/>
      <c r="BC105" s="21"/>
      <c r="BD105" s="21"/>
      <c r="BE105" s="21"/>
      <c r="BF105" s="21"/>
      <c r="BG105" s="21"/>
      <c r="BH105" s="13"/>
      <c r="BI105" s="23"/>
      <c r="BJ105" s="31"/>
      <c r="BK105" s="31"/>
    </row>
    <row r="106" spans="1:63" ht="13.9">
      <c r="A106" s="13"/>
      <c r="B106" s="14"/>
      <c r="C106" s="13"/>
      <c r="D106" s="13"/>
      <c r="E106" s="15"/>
      <c r="F106" s="13"/>
      <c r="G106" s="13"/>
      <c r="H106" s="13"/>
      <c r="I106" s="13"/>
      <c r="J106" s="13"/>
      <c r="K106" s="13"/>
      <c r="L106" s="17"/>
      <c r="M106" s="18"/>
      <c r="N106" s="18"/>
      <c r="O106" s="18"/>
      <c r="P106" s="18"/>
      <c r="Q106" s="17"/>
      <c r="R106" s="18"/>
      <c r="S106" s="17"/>
      <c r="T106" s="17"/>
      <c r="U106" s="17"/>
      <c r="V106" s="17"/>
      <c r="W106" s="13"/>
      <c r="X106" s="17"/>
      <c r="Y106" s="17"/>
      <c r="Z106" s="18"/>
      <c r="AA106" s="17"/>
      <c r="AB106" s="17"/>
      <c r="AC106" s="18"/>
      <c r="AD106" s="19"/>
      <c r="AE106" s="17"/>
      <c r="AF106" s="18"/>
      <c r="AG106" s="19"/>
      <c r="AH106" s="17"/>
      <c r="AI106" s="18"/>
      <c r="AJ106" s="17"/>
      <c r="AK106" s="17"/>
      <c r="AL106" s="17"/>
      <c r="AM106" s="17"/>
      <c r="AN106" s="17"/>
      <c r="AO106" s="17"/>
      <c r="AP106" s="17"/>
      <c r="AQ106" s="17"/>
      <c r="AR106" s="17"/>
      <c r="AS106" s="13"/>
      <c r="AT106" s="21"/>
      <c r="AU106" s="22"/>
      <c r="AV106" s="22"/>
      <c r="AW106" s="22"/>
      <c r="AX106" s="21"/>
      <c r="AY106" s="22"/>
      <c r="AZ106" s="22"/>
      <c r="BA106" s="22"/>
      <c r="BB106" s="21"/>
      <c r="BC106" s="21"/>
      <c r="BD106" s="21"/>
      <c r="BE106" s="21"/>
      <c r="BF106" s="21"/>
      <c r="BG106" s="21"/>
      <c r="BH106" s="13"/>
      <c r="BI106" s="23"/>
      <c r="BJ106" s="31"/>
      <c r="BK106" s="31"/>
    </row>
    <row r="107" spans="1:63" ht="13.9">
      <c r="A107" s="13"/>
      <c r="B107" s="14"/>
      <c r="C107" s="13"/>
      <c r="D107" s="13"/>
      <c r="E107" s="15"/>
      <c r="F107" s="13"/>
      <c r="G107" s="13"/>
      <c r="H107" s="13"/>
      <c r="I107" s="13"/>
      <c r="J107" s="13"/>
      <c r="K107" s="13"/>
      <c r="L107" s="17"/>
      <c r="M107" s="18"/>
      <c r="N107" s="18"/>
      <c r="O107" s="18"/>
      <c r="P107" s="18"/>
      <c r="Q107" s="17"/>
      <c r="R107" s="18"/>
      <c r="S107" s="17"/>
      <c r="T107" s="17"/>
      <c r="U107" s="17"/>
      <c r="V107" s="17"/>
      <c r="W107" s="13"/>
      <c r="X107" s="17"/>
      <c r="Y107" s="17"/>
      <c r="Z107" s="18"/>
      <c r="AA107" s="17"/>
      <c r="AB107" s="17"/>
      <c r="AC107" s="18"/>
      <c r="AD107" s="19"/>
      <c r="AE107" s="17"/>
      <c r="AF107" s="18"/>
      <c r="AG107" s="19"/>
      <c r="AH107" s="17"/>
      <c r="AI107" s="18"/>
      <c r="AJ107" s="17"/>
      <c r="AK107" s="17"/>
      <c r="AL107" s="17"/>
      <c r="AM107" s="17"/>
      <c r="AN107" s="17"/>
      <c r="AO107" s="17"/>
      <c r="AP107" s="17"/>
      <c r="AQ107" s="17"/>
      <c r="AR107" s="17"/>
      <c r="AS107" s="13"/>
      <c r="AT107" s="21"/>
      <c r="AU107" s="22"/>
      <c r="AV107" s="22"/>
      <c r="AW107" s="22"/>
      <c r="AX107" s="21"/>
      <c r="AY107" s="22"/>
      <c r="AZ107" s="22"/>
      <c r="BA107" s="22"/>
      <c r="BB107" s="21"/>
      <c r="BC107" s="21"/>
      <c r="BD107" s="21"/>
      <c r="BE107" s="21"/>
      <c r="BF107" s="21"/>
      <c r="BG107" s="21"/>
      <c r="BH107" s="13"/>
      <c r="BI107" s="23"/>
      <c r="BJ107" s="31"/>
      <c r="BK107" s="31"/>
    </row>
    <row r="108" spans="1:63" ht="13.9">
      <c r="A108" s="13"/>
      <c r="B108" s="14"/>
      <c r="C108" s="13"/>
      <c r="D108" s="13"/>
      <c r="E108" s="15"/>
      <c r="F108" s="13"/>
      <c r="G108" s="13"/>
      <c r="H108" s="13"/>
      <c r="I108" s="13"/>
      <c r="J108" s="13"/>
      <c r="K108" s="13"/>
      <c r="L108" s="17"/>
      <c r="M108" s="18"/>
      <c r="N108" s="18"/>
      <c r="O108" s="18"/>
      <c r="P108" s="18"/>
      <c r="Q108" s="17"/>
      <c r="R108" s="18"/>
      <c r="S108" s="17"/>
      <c r="T108" s="17"/>
      <c r="U108" s="17"/>
      <c r="V108" s="17"/>
      <c r="W108" s="13"/>
      <c r="X108" s="17"/>
      <c r="Y108" s="17"/>
      <c r="Z108" s="18"/>
      <c r="AA108" s="17"/>
      <c r="AB108" s="17"/>
      <c r="AC108" s="18"/>
      <c r="AD108" s="19"/>
      <c r="AE108" s="17"/>
      <c r="AF108" s="18"/>
      <c r="AG108" s="19"/>
      <c r="AH108" s="17"/>
      <c r="AI108" s="18"/>
      <c r="AJ108" s="17"/>
      <c r="AK108" s="17"/>
      <c r="AL108" s="17"/>
      <c r="AM108" s="17"/>
      <c r="AN108" s="17"/>
      <c r="AO108" s="17"/>
      <c r="AP108" s="17"/>
      <c r="AQ108" s="17"/>
      <c r="AR108" s="17"/>
      <c r="AS108" s="13"/>
      <c r="AT108" s="21"/>
      <c r="AU108" s="22"/>
      <c r="AV108" s="22"/>
      <c r="AW108" s="22"/>
      <c r="AX108" s="21"/>
      <c r="AY108" s="22"/>
      <c r="AZ108" s="22"/>
      <c r="BA108" s="22"/>
      <c r="BB108" s="21"/>
      <c r="BC108" s="21"/>
      <c r="BD108" s="21"/>
      <c r="BE108" s="21"/>
      <c r="BF108" s="21"/>
      <c r="BG108" s="21"/>
      <c r="BH108" s="13"/>
      <c r="BI108" s="23"/>
      <c r="BJ108" s="31"/>
      <c r="BK108" s="31"/>
    </row>
    <row r="109" spans="1:63" ht="13.9">
      <c r="A109" s="13"/>
      <c r="B109" s="14"/>
      <c r="C109" s="13"/>
      <c r="D109" s="13"/>
      <c r="E109" s="15"/>
      <c r="F109" s="13"/>
      <c r="G109" s="13"/>
      <c r="H109" s="13"/>
      <c r="I109" s="13"/>
      <c r="J109" s="13"/>
      <c r="K109" s="13"/>
      <c r="L109" s="17"/>
      <c r="M109" s="18"/>
      <c r="N109" s="18"/>
      <c r="O109" s="18"/>
      <c r="P109" s="18"/>
      <c r="Q109" s="17"/>
      <c r="R109" s="18"/>
      <c r="S109" s="17"/>
      <c r="T109" s="17"/>
      <c r="U109" s="17"/>
      <c r="V109" s="17"/>
      <c r="W109" s="13"/>
      <c r="X109" s="17"/>
      <c r="Y109" s="17"/>
      <c r="Z109" s="18"/>
      <c r="AA109" s="17"/>
      <c r="AB109" s="17"/>
      <c r="AC109" s="18"/>
      <c r="AD109" s="19"/>
      <c r="AE109" s="17"/>
      <c r="AF109" s="18"/>
      <c r="AG109" s="19"/>
      <c r="AH109" s="17"/>
      <c r="AI109" s="18"/>
      <c r="AJ109" s="17"/>
      <c r="AK109" s="17"/>
      <c r="AL109" s="17"/>
      <c r="AM109" s="17"/>
      <c r="AN109" s="17"/>
      <c r="AO109" s="17"/>
      <c r="AP109" s="17"/>
      <c r="AQ109" s="17"/>
      <c r="AR109" s="17"/>
      <c r="AS109" s="13"/>
      <c r="AT109" s="21"/>
      <c r="AU109" s="22"/>
      <c r="AV109" s="22"/>
      <c r="AW109" s="22"/>
      <c r="AX109" s="21"/>
      <c r="AY109" s="22"/>
      <c r="AZ109" s="22"/>
      <c r="BA109" s="22"/>
      <c r="BB109" s="21"/>
      <c r="BC109" s="21"/>
      <c r="BD109" s="21"/>
      <c r="BE109" s="21"/>
      <c r="BF109" s="21"/>
      <c r="BG109" s="21"/>
      <c r="BH109" s="13"/>
      <c r="BI109" s="23"/>
      <c r="BJ109" s="31"/>
      <c r="BK109" s="31"/>
    </row>
    <row r="110" spans="1:63" ht="13.9">
      <c r="A110" s="13"/>
      <c r="B110" s="14"/>
      <c r="C110" s="13"/>
      <c r="D110" s="13"/>
      <c r="E110" s="15"/>
      <c r="F110" s="13"/>
      <c r="G110" s="13"/>
      <c r="H110" s="13"/>
      <c r="I110" s="13"/>
      <c r="J110" s="13"/>
      <c r="K110" s="13"/>
      <c r="L110" s="17"/>
      <c r="M110" s="18"/>
      <c r="N110" s="18"/>
      <c r="O110" s="18"/>
      <c r="P110" s="18"/>
      <c r="Q110" s="17"/>
      <c r="R110" s="18"/>
      <c r="S110" s="17"/>
      <c r="T110" s="17"/>
      <c r="U110" s="17"/>
      <c r="V110" s="17"/>
      <c r="W110" s="13"/>
      <c r="X110" s="17"/>
      <c r="Y110" s="17"/>
      <c r="Z110" s="18"/>
      <c r="AA110" s="17"/>
      <c r="AB110" s="17"/>
      <c r="AC110" s="18"/>
      <c r="AD110" s="19"/>
      <c r="AE110" s="17"/>
      <c r="AF110" s="18"/>
      <c r="AG110" s="19"/>
      <c r="AH110" s="17"/>
      <c r="AI110" s="18"/>
      <c r="AJ110" s="17"/>
      <c r="AK110" s="17"/>
      <c r="AL110" s="17"/>
      <c r="AM110" s="17"/>
      <c r="AN110" s="17"/>
      <c r="AO110" s="17"/>
      <c r="AP110" s="17"/>
      <c r="AQ110" s="17"/>
      <c r="AR110" s="17"/>
      <c r="AS110" s="13"/>
      <c r="AT110" s="21"/>
      <c r="AU110" s="22"/>
      <c r="AV110" s="22"/>
      <c r="AW110" s="22"/>
      <c r="AX110" s="21"/>
      <c r="AY110" s="22"/>
      <c r="AZ110" s="22"/>
      <c r="BA110" s="22"/>
      <c r="BB110" s="21"/>
      <c r="BC110" s="21"/>
      <c r="BD110" s="21"/>
      <c r="BE110" s="21"/>
      <c r="BF110" s="21"/>
      <c r="BG110" s="21"/>
      <c r="BH110" s="13"/>
      <c r="BI110" s="23"/>
      <c r="BJ110" s="31"/>
      <c r="BK110" s="31"/>
    </row>
    <row r="111" spans="1:63" ht="13.9">
      <c r="A111" s="13"/>
      <c r="B111" s="14"/>
      <c r="C111" s="13"/>
      <c r="D111" s="13"/>
      <c r="E111" s="15"/>
      <c r="F111" s="13"/>
      <c r="G111" s="13"/>
      <c r="H111" s="13"/>
      <c r="I111" s="13"/>
      <c r="J111" s="13"/>
      <c r="K111" s="13"/>
      <c r="L111" s="17"/>
      <c r="M111" s="18"/>
      <c r="N111" s="18"/>
      <c r="O111" s="18"/>
      <c r="P111" s="18"/>
      <c r="Q111" s="17"/>
      <c r="R111" s="18"/>
      <c r="S111" s="17"/>
      <c r="T111" s="17"/>
      <c r="U111" s="17"/>
      <c r="V111" s="17"/>
      <c r="W111" s="13"/>
      <c r="X111" s="17"/>
      <c r="Y111" s="17"/>
      <c r="Z111" s="18"/>
      <c r="AA111" s="17"/>
      <c r="AB111" s="17"/>
      <c r="AC111" s="18"/>
      <c r="AD111" s="19"/>
      <c r="AE111" s="17"/>
      <c r="AF111" s="18"/>
      <c r="AG111" s="19"/>
      <c r="AH111" s="17"/>
      <c r="AI111" s="18"/>
      <c r="AJ111" s="17"/>
      <c r="AK111" s="17"/>
      <c r="AL111" s="17"/>
      <c r="AM111" s="17"/>
      <c r="AN111" s="17"/>
      <c r="AO111" s="17"/>
      <c r="AP111" s="17"/>
      <c r="AQ111" s="17"/>
      <c r="AR111" s="17"/>
      <c r="AS111" s="13"/>
      <c r="AT111" s="21"/>
      <c r="AU111" s="22"/>
      <c r="AV111" s="22"/>
      <c r="AW111" s="22"/>
      <c r="AX111" s="21"/>
      <c r="AY111" s="22"/>
      <c r="AZ111" s="22"/>
      <c r="BA111" s="22"/>
      <c r="BB111" s="21"/>
      <c r="BC111" s="21"/>
      <c r="BD111" s="21"/>
      <c r="BE111" s="21"/>
      <c r="BF111" s="21"/>
      <c r="BG111" s="21"/>
      <c r="BH111" s="13"/>
      <c r="BI111" s="23"/>
      <c r="BJ111" s="31"/>
      <c r="BK111" s="31"/>
    </row>
    <row r="112" spans="1:63" ht="13.9">
      <c r="A112" s="13"/>
      <c r="B112" s="14"/>
      <c r="C112" s="13"/>
      <c r="D112" s="13"/>
      <c r="E112" s="15"/>
      <c r="F112" s="13"/>
      <c r="G112" s="13"/>
      <c r="H112" s="13"/>
      <c r="I112" s="13"/>
      <c r="J112" s="13"/>
      <c r="K112" s="13"/>
      <c r="L112" s="17"/>
      <c r="M112" s="18"/>
      <c r="N112" s="18"/>
      <c r="O112" s="18"/>
      <c r="P112" s="18"/>
      <c r="Q112" s="17"/>
      <c r="R112" s="18"/>
      <c r="S112" s="17"/>
      <c r="T112" s="17"/>
      <c r="U112" s="17"/>
      <c r="V112" s="17"/>
      <c r="W112" s="13"/>
      <c r="X112" s="17"/>
      <c r="Y112" s="17"/>
      <c r="Z112" s="18"/>
      <c r="AA112" s="17"/>
      <c r="AB112" s="17"/>
      <c r="AC112" s="18"/>
      <c r="AD112" s="19"/>
      <c r="AE112" s="17"/>
      <c r="AF112" s="18"/>
      <c r="AG112" s="19"/>
      <c r="AH112" s="17"/>
      <c r="AI112" s="18"/>
      <c r="AJ112" s="17"/>
      <c r="AK112" s="17"/>
      <c r="AL112" s="17"/>
      <c r="AM112" s="17"/>
      <c r="AN112" s="17"/>
      <c r="AO112" s="17"/>
      <c r="AP112" s="17"/>
      <c r="AQ112" s="17"/>
      <c r="AR112" s="17"/>
      <c r="AS112" s="13"/>
      <c r="AT112" s="21"/>
      <c r="AU112" s="22"/>
      <c r="AV112" s="22"/>
      <c r="AW112" s="22"/>
      <c r="AX112" s="21"/>
      <c r="AY112" s="22"/>
      <c r="AZ112" s="22"/>
      <c r="BA112" s="22"/>
      <c r="BB112" s="21"/>
      <c r="BC112" s="21"/>
      <c r="BD112" s="21"/>
      <c r="BE112" s="21"/>
      <c r="BF112" s="21"/>
      <c r="BG112" s="21"/>
      <c r="BH112" s="13"/>
      <c r="BI112" s="23"/>
      <c r="BJ112" s="31"/>
      <c r="BK112" s="31"/>
    </row>
    <row r="113" spans="1:63" ht="13.9">
      <c r="A113" s="13"/>
      <c r="B113" s="14"/>
      <c r="C113" s="13"/>
      <c r="D113" s="13"/>
      <c r="E113" s="15"/>
      <c r="F113" s="13"/>
      <c r="G113" s="13"/>
      <c r="H113" s="13"/>
      <c r="I113" s="13"/>
      <c r="J113" s="13"/>
      <c r="K113" s="13"/>
      <c r="L113" s="17"/>
      <c r="M113" s="18"/>
      <c r="N113" s="18"/>
      <c r="O113" s="18"/>
      <c r="P113" s="18"/>
      <c r="Q113" s="17"/>
      <c r="R113" s="18"/>
      <c r="S113" s="17"/>
      <c r="T113" s="17"/>
      <c r="U113" s="17"/>
      <c r="V113" s="17"/>
      <c r="W113" s="13"/>
      <c r="X113" s="17"/>
      <c r="Y113" s="17"/>
      <c r="Z113" s="18"/>
      <c r="AA113" s="17"/>
      <c r="AB113" s="17"/>
      <c r="AC113" s="18"/>
      <c r="AD113" s="19"/>
      <c r="AE113" s="17"/>
      <c r="AF113" s="18"/>
      <c r="AG113" s="19"/>
      <c r="AH113" s="17"/>
      <c r="AI113" s="18"/>
      <c r="AJ113" s="17"/>
      <c r="AK113" s="17"/>
      <c r="AL113" s="17"/>
      <c r="AM113" s="17"/>
      <c r="AN113" s="17"/>
      <c r="AO113" s="17"/>
      <c r="AP113" s="17"/>
      <c r="AQ113" s="17"/>
      <c r="AR113" s="17"/>
      <c r="AS113" s="13"/>
      <c r="AT113" s="21"/>
      <c r="AU113" s="22"/>
      <c r="AV113" s="22"/>
      <c r="AW113" s="22"/>
      <c r="AX113" s="21"/>
      <c r="AY113" s="22"/>
      <c r="AZ113" s="22"/>
      <c r="BA113" s="22"/>
      <c r="BB113" s="21"/>
      <c r="BC113" s="21"/>
      <c r="BD113" s="21"/>
      <c r="BE113" s="21"/>
      <c r="BF113" s="21"/>
      <c r="BG113" s="21"/>
      <c r="BH113" s="13"/>
      <c r="BI113" s="23"/>
      <c r="BJ113" s="31"/>
      <c r="BK113" s="31"/>
    </row>
    <row r="114" spans="1:63" ht="13.9">
      <c r="A114" s="13"/>
      <c r="B114" s="14"/>
      <c r="C114" s="13"/>
      <c r="D114" s="13"/>
      <c r="E114" s="15"/>
      <c r="F114" s="13"/>
      <c r="G114" s="13"/>
      <c r="H114" s="13"/>
      <c r="I114" s="13"/>
      <c r="J114" s="13"/>
      <c r="K114" s="13"/>
      <c r="L114" s="17"/>
      <c r="M114" s="18"/>
      <c r="N114" s="18"/>
      <c r="O114" s="18"/>
      <c r="P114" s="18"/>
      <c r="Q114" s="17"/>
      <c r="R114" s="18"/>
      <c r="S114" s="17"/>
      <c r="T114" s="17"/>
      <c r="U114" s="17"/>
      <c r="V114" s="17"/>
      <c r="W114" s="13"/>
      <c r="X114" s="17"/>
      <c r="Y114" s="17"/>
      <c r="Z114" s="18"/>
      <c r="AA114" s="17"/>
      <c r="AB114" s="17"/>
      <c r="AC114" s="18"/>
      <c r="AD114" s="19"/>
      <c r="AE114" s="17"/>
      <c r="AF114" s="18"/>
      <c r="AG114" s="19"/>
      <c r="AH114" s="17"/>
      <c r="AI114" s="18"/>
      <c r="AJ114" s="17"/>
      <c r="AK114" s="17"/>
      <c r="AL114" s="17"/>
      <c r="AM114" s="17"/>
      <c r="AN114" s="17"/>
      <c r="AO114" s="17"/>
      <c r="AP114" s="17"/>
      <c r="AQ114" s="17"/>
      <c r="AR114" s="17"/>
      <c r="AS114" s="13"/>
      <c r="AT114" s="21"/>
      <c r="AU114" s="22"/>
      <c r="AV114" s="22"/>
      <c r="AW114" s="22"/>
      <c r="AX114" s="21"/>
      <c r="AY114" s="22"/>
      <c r="AZ114" s="22"/>
      <c r="BA114" s="22"/>
      <c r="BB114" s="21"/>
      <c r="BC114" s="21"/>
      <c r="BD114" s="21"/>
      <c r="BE114" s="21"/>
      <c r="BF114" s="21"/>
      <c r="BG114" s="21"/>
      <c r="BH114" s="13"/>
      <c r="BI114" s="23"/>
      <c r="BJ114" s="31"/>
      <c r="BK114" s="31"/>
    </row>
    <row r="115" spans="1:63" ht="13.9">
      <c r="A115" s="13"/>
      <c r="B115" s="14"/>
      <c r="C115" s="13"/>
      <c r="D115" s="13"/>
      <c r="E115" s="15"/>
      <c r="F115" s="13"/>
      <c r="G115" s="13"/>
      <c r="H115" s="13"/>
      <c r="I115" s="13"/>
      <c r="J115" s="13"/>
      <c r="K115" s="13"/>
      <c r="L115" s="17"/>
      <c r="M115" s="18"/>
      <c r="N115" s="18"/>
      <c r="O115" s="18"/>
      <c r="P115" s="18"/>
      <c r="Q115" s="17"/>
      <c r="R115" s="18"/>
      <c r="S115" s="17"/>
      <c r="T115" s="17"/>
      <c r="U115" s="17"/>
      <c r="V115" s="17"/>
      <c r="W115" s="13"/>
      <c r="X115" s="17"/>
      <c r="Y115" s="17"/>
      <c r="Z115" s="18"/>
      <c r="AA115" s="17"/>
      <c r="AB115" s="17"/>
      <c r="AC115" s="18"/>
      <c r="AD115" s="19"/>
      <c r="AE115" s="17"/>
      <c r="AF115" s="18"/>
      <c r="AG115" s="19"/>
      <c r="AH115" s="17"/>
      <c r="AI115" s="18"/>
      <c r="AJ115" s="17"/>
      <c r="AK115" s="17"/>
      <c r="AL115" s="17"/>
      <c r="AM115" s="17"/>
      <c r="AN115" s="17"/>
      <c r="AO115" s="17"/>
      <c r="AP115" s="17"/>
      <c r="AQ115" s="17"/>
      <c r="AR115" s="17"/>
      <c r="AS115" s="13"/>
      <c r="AT115" s="21"/>
      <c r="AU115" s="22"/>
      <c r="AV115" s="22"/>
      <c r="AW115" s="22"/>
      <c r="AX115" s="21"/>
      <c r="AY115" s="22"/>
      <c r="AZ115" s="22"/>
      <c r="BA115" s="22"/>
      <c r="BB115" s="21"/>
      <c r="BC115" s="21"/>
      <c r="BD115" s="21"/>
      <c r="BE115" s="21"/>
      <c r="BF115" s="21"/>
      <c r="BG115" s="21"/>
      <c r="BH115" s="13"/>
      <c r="BI115" s="23"/>
      <c r="BJ115" s="31"/>
      <c r="BK115" s="31"/>
    </row>
    <row r="116" spans="1:63" ht="13.9">
      <c r="A116" s="13"/>
      <c r="B116" s="14"/>
      <c r="C116" s="13"/>
      <c r="D116" s="13"/>
      <c r="E116" s="15"/>
      <c r="F116" s="13"/>
      <c r="G116" s="13"/>
      <c r="H116" s="13"/>
      <c r="I116" s="13"/>
      <c r="J116" s="13"/>
      <c r="K116" s="13"/>
      <c r="L116" s="17"/>
      <c r="M116" s="18"/>
      <c r="N116" s="18"/>
      <c r="O116" s="18"/>
      <c r="P116" s="18"/>
      <c r="Q116" s="17"/>
      <c r="R116" s="18"/>
      <c r="S116" s="17"/>
      <c r="T116" s="17"/>
      <c r="U116" s="17"/>
      <c r="V116" s="17"/>
      <c r="W116" s="13"/>
      <c r="X116" s="17"/>
      <c r="Y116" s="17"/>
      <c r="Z116" s="18"/>
      <c r="AA116" s="17"/>
      <c r="AB116" s="17"/>
      <c r="AC116" s="18"/>
      <c r="AD116" s="19"/>
      <c r="AE116" s="17"/>
      <c r="AF116" s="18"/>
      <c r="AG116" s="19"/>
      <c r="AH116" s="17"/>
      <c r="AI116" s="18"/>
      <c r="AJ116" s="17"/>
      <c r="AK116" s="17"/>
      <c r="AL116" s="17"/>
      <c r="AM116" s="17"/>
      <c r="AN116" s="17"/>
      <c r="AO116" s="17"/>
      <c r="AP116" s="17"/>
      <c r="AQ116" s="17"/>
      <c r="AR116" s="17"/>
      <c r="AS116" s="13"/>
      <c r="AT116" s="13"/>
      <c r="AU116" s="17"/>
      <c r="AV116" s="17"/>
      <c r="AW116" s="17"/>
      <c r="AX116" s="13"/>
      <c r="AY116" s="17"/>
      <c r="AZ116" s="17"/>
      <c r="BA116" s="17"/>
      <c r="BB116" s="13"/>
      <c r="BC116" s="13"/>
      <c r="BD116" s="13"/>
      <c r="BE116" s="13"/>
      <c r="BF116" s="13"/>
      <c r="BG116" s="13"/>
      <c r="BH116" s="13"/>
      <c r="BI116" s="23"/>
      <c r="BJ116" s="31"/>
      <c r="BK116" s="31"/>
    </row>
    <row r="117" spans="1:63" ht="13.9">
      <c r="A117" s="13"/>
      <c r="B117" s="14"/>
      <c r="C117" s="13"/>
      <c r="D117" s="13"/>
      <c r="E117" s="15"/>
      <c r="F117" s="13"/>
      <c r="G117" s="13"/>
      <c r="H117" s="13"/>
      <c r="I117" s="13"/>
      <c r="J117" s="13"/>
      <c r="K117" s="13"/>
      <c r="L117" s="17"/>
      <c r="M117" s="18"/>
      <c r="N117" s="18"/>
      <c r="O117" s="18"/>
      <c r="P117" s="18"/>
      <c r="Q117" s="17"/>
      <c r="R117" s="18"/>
      <c r="S117" s="17"/>
      <c r="T117" s="17"/>
      <c r="U117" s="17"/>
      <c r="V117" s="17"/>
      <c r="W117" s="13"/>
      <c r="X117" s="17"/>
      <c r="Y117" s="17"/>
      <c r="Z117" s="18"/>
      <c r="AA117" s="17"/>
      <c r="AB117" s="17"/>
      <c r="AC117" s="18"/>
      <c r="AD117" s="19"/>
      <c r="AE117" s="17"/>
      <c r="AF117" s="18"/>
      <c r="AG117" s="19"/>
      <c r="AH117" s="17"/>
      <c r="AI117" s="18"/>
      <c r="AJ117" s="17"/>
      <c r="AK117" s="17"/>
      <c r="AL117" s="17"/>
      <c r="AM117" s="17"/>
      <c r="AN117" s="17"/>
      <c r="AO117" s="17"/>
      <c r="AP117" s="17"/>
      <c r="AQ117" s="17"/>
      <c r="AR117" s="17"/>
      <c r="AS117" s="13"/>
      <c r="AT117" s="13"/>
      <c r="AU117" s="17"/>
      <c r="AV117" s="17"/>
      <c r="AW117" s="17"/>
      <c r="AX117" s="13"/>
      <c r="AY117" s="17"/>
      <c r="AZ117" s="17"/>
      <c r="BA117" s="17"/>
      <c r="BB117" s="13"/>
      <c r="BC117" s="13"/>
      <c r="BD117" s="13"/>
      <c r="BE117" s="13"/>
      <c r="BF117" s="13"/>
      <c r="BG117" s="13"/>
      <c r="BH117" s="13"/>
      <c r="BI117" s="23"/>
      <c r="BJ117" s="31"/>
      <c r="BK117" s="31"/>
    </row>
    <row r="118" spans="1:63" ht="13.9">
      <c r="A118" s="13"/>
      <c r="B118" s="14"/>
      <c r="C118" s="13"/>
      <c r="D118" s="13"/>
      <c r="E118" s="15"/>
      <c r="F118" s="13"/>
      <c r="G118" s="13"/>
      <c r="H118" s="13"/>
      <c r="I118" s="13"/>
      <c r="J118" s="13"/>
      <c r="K118" s="13"/>
      <c r="L118" s="17"/>
      <c r="M118" s="18"/>
      <c r="N118" s="18"/>
      <c r="O118" s="18"/>
      <c r="P118" s="18"/>
      <c r="Q118" s="17"/>
      <c r="R118" s="18"/>
      <c r="S118" s="17"/>
      <c r="T118" s="17"/>
      <c r="U118" s="17"/>
      <c r="V118" s="17"/>
      <c r="W118" s="13"/>
      <c r="X118" s="17"/>
      <c r="Y118" s="17"/>
      <c r="Z118" s="18"/>
      <c r="AA118" s="17"/>
      <c r="AB118" s="17"/>
      <c r="AC118" s="18"/>
      <c r="AD118" s="19"/>
      <c r="AE118" s="17"/>
      <c r="AF118" s="18"/>
      <c r="AG118" s="19"/>
      <c r="AH118" s="17"/>
      <c r="AI118" s="18"/>
      <c r="AJ118" s="17"/>
      <c r="AK118" s="17"/>
      <c r="AL118" s="17"/>
      <c r="AM118" s="17"/>
      <c r="AN118" s="17"/>
      <c r="AO118" s="17"/>
      <c r="AP118" s="17"/>
      <c r="AQ118" s="17"/>
      <c r="AR118" s="17"/>
      <c r="AS118" s="13"/>
      <c r="AT118" s="13"/>
      <c r="AU118" s="17"/>
      <c r="AV118" s="17"/>
      <c r="AW118" s="17"/>
      <c r="AX118" s="13"/>
      <c r="AY118" s="17"/>
      <c r="AZ118" s="17"/>
      <c r="BA118" s="17"/>
      <c r="BB118" s="13"/>
      <c r="BC118" s="13"/>
      <c r="BD118" s="13"/>
      <c r="BE118" s="13"/>
      <c r="BF118" s="13"/>
      <c r="BG118" s="13"/>
      <c r="BH118" s="13"/>
      <c r="BI118" s="23"/>
      <c r="BJ118" s="31"/>
      <c r="BK118" s="31"/>
    </row>
    <row r="119" spans="1:63" ht="13.9">
      <c r="A119" s="13"/>
      <c r="B119" s="14"/>
      <c r="C119" s="13"/>
      <c r="D119" s="13"/>
      <c r="E119" s="15"/>
      <c r="F119" s="13"/>
      <c r="G119" s="13"/>
      <c r="H119" s="13"/>
      <c r="I119" s="13"/>
      <c r="J119" s="13"/>
      <c r="K119" s="13"/>
      <c r="L119" s="17"/>
      <c r="M119" s="18"/>
      <c r="N119" s="18"/>
      <c r="O119" s="18"/>
      <c r="P119" s="18"/>
      <c r="Q119" s="17"/>
      <c r="R119" s="18"/>
      <c r="S119" s="17"/>
      <c r="T119" s="17"/>
      <c r="U119" s="17"/>
      <c r="V119" s="17"/>
      <c r="W119" s="13"/>
      <c r="X119" s="17"/>
      <c r="Y119" s="17"/>
      <c r="Z119" s="18"/>
      <c r="AA119" s="17"/>
      <c r="AB119" s="17"/>
      <c r="AC119" s="18"/>
      <c r="AD119" s="19"/>
      <c r="AE119" s="17"/>
      <c r="AF119" s="18"/>
      <c r="AG119" s="19"/>
      <c r="AH119" s="17"/>
      <c r="AI119" s="18"/>
      <c r="AJ119" s="17"/>
      <c r="AK119" s="17"/>
      <c r="AL119" s="17"/>
      <c r="AM119" s="17"/>
      <c r="AN119" s="17"/>
      <c r="AO119" s="17"/>
      <c r="AP119" s="17"/>
      <c r="AQ119" s="17"/>
      <c r="AR119" s="17"/>
      <c r="AS119" s="13"/>
      <c r="AT119" s="13"/>
      <c r="AU119" s="17"/>
      <c r="AV119" s="17"/>
      <c r="AW119" s="17"/>
      <c r="AX119" s="13"/>
      <c r="AY119" s="17"/>
      <c r="AZ119" s="17"/>
      <c r="BA119" s="17"/>
      <c r="BB119" s="13"/>
      <c r="BC119" s="13"/>
      <c r="BD119" s="13"/>
      <c r="BE119" s="13"/>
      <c r="BF119" s="13"/>
      <c r="BG119" s="13"/>
      <c r="BH119" s="13"/>
      <c r="BI119" s="23"/>
      <c r="BJ119" s="31"/>
      <c r="BK119" s="31"/>
    </row>
    <row r="120" spans="1:63" ht="13.9">
      <c r="A120" s="13"/>
      <c r="B120" s="14"/>
      <c r="C120" s="13"/>
      <c r="D120" s="13"/>
      <c r="E120" s="15"/>
      <c r="F120" s="13"/>
      <c r="G120" s="13"/>
      <c r="H120" s="13"/>
      <c r="I120" s="13"/>
      <c r="J120" s="13"/>
      <c r="K120" s="13"/>
      <c r="L120" s="17"/>
      <c r="M120" s="18"/>
      <c r="N120" s="18"/>
      <c r="O120" s="18"/>
      <c r="P120" s="18"/>
      <c r="Q120" s="17"/>
      <c r="R120" s="18"/>
      <c r="S120" s="17"/>
      <c r="T120" s="17"/>
      <c r="U120" s="17"/>
      <c r="V120" s="17"/>
      <c r="W120" s="13"/>
      <c r="X120" s="17"/>
      <c r="Y120" s="17"/>
      <c r="Z120" s="18"/>
      <c r="AA120" s="17"/>
      <c r="AB120" s="17"/>
      <c r="AC120" s="18"/>
      <c r="AD120" s="19"/>
      <c r="AE120" s="17"/>
      <c r="AF120" s="18"/>
      <c r="AG120" s="19"/>
      <c r="AH120" s="17"/>
      <c r="AI120" s="18"/>
      <c r="AJ120" s="17"/>
      <c r="AK120" s="17"/>
      <c r="AL120" s="17"/>
      <c r="AM120" s="17"/>
      <c r="AN120" s="17"/>
      <c r="AO120" s="17"/>
      <c r="AP120" s="17"/>
      <c r="AQ120" s="17"/>
      <c r="AR120" s="17"/>
      <c r="AS120" s="13"/>
      <c r="AT120" s="13"/>
      <c r="AU120" s="17"/>
      <c r="AV120" s="17"/>
      <c r="AW120" s="17"/>
      <c r="AX120" s="13"/>
      <c r="AY120" s="17"/>
      <c r="AZ120" s="17"/>
      <c r="BA120" s="17"/>
      <c r="BB120" s="13"/>
      <c r="BC120" s="13"/>
      <c r="BD120" s="13"/>
      <c r="BE120" s="13"/>
      <c r="BF120" s="13"/>
      <c r="BG120" s="13"/>
      <c r="BH120" s="13"/>
      <c r="BI120" s="23"/>
      <c r="BJ120" s="31"/>
      <c r="BK120" s="31"/>
    </row>
    <row r="121" spans="1:63" ht="13.9">
      <c r="A121" s="31"/>
      <c r="B121" s="34"/>
      <c r="C121" s="31"/>
      <c r="D121" s="31"/>
      <c r="E121" s="42"/>
      <c r="F121" s="31"/>
      <c r="G121" s="31"/>
      <c r="H121" s="31"/>
      <c r="I121" s="31"/>
      <c r="J121" s="31"/>
      <c r="K121" s="31"/>
      <c r="L121" s="23"/>
      <c r="M121" s="40"/>
      <c r="N121" s="40"/>
      <c r="O121" s="40"/>
      <c r="P121" s="40"/>
      <c r="Q121" s="23"/>
      <c r="R121" s="40"/>
      <c r="S121" s="23"/>
      <c r="T121" s="23"/>
      <c r="U121" s="23"/>
      <c r="V121" s="23"/>
      <c r="W121" s="31"/>
      <c r="X121" s="23"/>
      <c r="Y121" s="23"/>
      <c r="Z121" s="40"/>
      <c r="AA121" s="23"/>
      <c r="AB121" s="23"/>
      <c r="AC121" s="40"/>
      <c r="AD121" s="41"/>
      <c r="AE121" s="23"/>
      <c r="AF121" s="40"/>
      <c r="AG121" s="41"/>
      <c r="AH121" s="23"/>
      <c r="AI121" s="40"/>
      <c r="AJ121" s="23"/>
      <c r="AK121" s="23"/>
      <c r="AL121" s="23"/>
      <c r="AM121" s="23"/>
      <c r="AN121" s="23"/>
      <c r="AO121" s="23"/>
      <c r="AP121" s="23"/>
      <c r="AQ121" s="23"/>
      <c r="AR121" s="23"/>
      <c r="AS121" s="31"/>
      <c r="AT121" s="31"/>
      <c r="AU121" s="23"/>
      <c r="AV121" s="23"/>
      <c r="AW121" s="23"/>
      <c r="AX121" s="31"/>
      <c r="AY121" s="23"/>
      <c r="AZ121" s="23"/>
      <c r="BA121" s="23"/>
      <c r="BB121" s="31"/>
      <c r="BC121" s="31"/>
      <c r="BD121" s="31"/>
      <c r="BE121" s="31"/>
      <c r="BF121" s="31"/>
      <c r="BG121" s="31"/>
      <c r="BH121" s="31"/>
      <c r="BI121" s="23"/>
      <c r="BJ121" s="31"/>
      <c r="BK121" s="31"/>
    </row>
    <row r="122" spans="1:63" ht="13.9">
      <c r="A122" s="31"/>
      <c r="B122" s="34"/>
      <c r="C122" s="31"/>
      <c r="D122" s="31"/>
      <c r="E122" s="42"/>
      <c r="F122" s="31"/>
      <c r="G122" s="31"/>
      <c r="H122" s="31"/>
      <c r="I122" s="31"/>
      <c r="J122" s="31"/>
      <c r="K122" s="31"/>
      <c r="L122" s="23"/>
      <c r="M122" s="40"/>
      <c r="N122" s="40"/>
      <c r="O122" s="40"/>
      <c r="P122" s="40"/>
      <c r="Q122" s="23"/>
      <c r="R122" s="40"/>
      <c r="S122" s="23"/>
      <c r="T122" s="23"/>
      <c r="U122" s="23"/>
      <c r="V122" s="23"/>
      <c r="W122" s="31"/>
      <c r="X122" s="23"/>
      <c r="Y122" s="23"/>
      <c r="Z122" s="40"/>
      <c r="AA122" s="23"/>
      <c r="AB122" s="23"/>
      <c r="AC122" s="40"/>
      <c r="AD122" s="41"/>
      <c r="AE122" s="23"/>
      <c r="AF122" s="40"/>
      <c r="AG122" s="41"/>
      <c r="AH122" s="23"/>
      <c r="AI122" s="40"/>
      <c r="AJ122" s="23"/>
      <c r="AK122" s="23"/>
      <c r="AL122" s="23"/>
      <c r="AM122" s="23"/>
      <c r="AN122" s="23"/>
      <c r="AO122" s="23"/>
      <c r="AP122" s="23"/>
      <c r="AQ122" s="23"/>
      <c r="AR122" s="23"/>
      <c r="AS122" s="31"/>
      <c r="AT122" s="31"/>
      <c r="AU122" s="23"/>
      <c r="AV122" s="23"/>
      <c r="AW122" s="23"/>
      <c r="AX122" s="31"/>
      <c r="AY122" s="23"/>
      <c r="AZ122" s="23"/>
      <c r="BA122" s="23"/>
      <c r="BB122" s="31"/>
      <c r="BC122" s="31"/>
      <c r="BD122" s="31"/>
      <c r="BE122" s="31"/>
      <c r="BF122" s="31"/>
      <c r="BG122" s="31"/>
      <c r="BH122" s="31"/>
      <c r="BI122" s="23"/>
      <c r="BJ122" s="31"/>
      <c r="BK122" s="31"/>
    </row>
    <row r="123" spans="1:63" ht="13.9">
      <c r="A123" s="31"/>
      <c r="B123" s="34"/>
      <c r="C123" s="31"/>
      <c r="D123" s="31"/>
      <c r="E123" s="42"/>
      <c r="F123" s="31"/>
      <c r="G123" s="31"/>
      <c r="H123" s="31"/>
      <c r="I123" s="31"/>
      <c r="J123" s="31"/>
      <c r="K123" s="31"/>
      <c r="L123" s="23"/>
      <c r="M123" s="40"/>
      <c r="N123" s="40"/>
      <c r="O123" s="40"/>
      <c r="P123" s="40"/>
      <c r="Q123" s="23"/>
      <c r="R123" s="40"/>
      <c r="S123" s="23"/>
      <c r="T123" s="23"/>
      <c r="U123" s="23"/>
      <c r="V123" s="23"/>
      <c r="W123" s="31"/>
      <c r="X123" s="23"/>
      <c r="Y123" s="23"/>
      <c r="Z123" s="40"/>
      <c r="AA123" s="23"/>
      <c r="AB123" s="23"/>
      <c r="AC123" s="40"/>
      <c r="AD123" s="41"/>
      <c r="AE123" s="23"/>
      <c r="AF123" s="40"/>
      <c r="AG123" s="41"/>
      <c r="AH123" s="23"/>
      <c r="AI123" s="40"/>
      <c r="AJ123" s="23"/>
      <c r="AK123" s="23"/>
      <c r="AL123" s="23"/>
      <c r="AM123" s="23"/>
      <c r="AN123" s="23"/>
      <c r="AO123" s="23"/>
      <c r="AP123" s="23"/>
      <c r="AQ123" s="23"/>
      <c r="AR123" s="23"/>
      <c r="AS123" s="31"/>
      <c r="AT123" s="31"/>
      <c r="AU123" s="23"/>
      <c r="AV123" s="23"/>
      <c r="AW123" s="23"/>
      <c r="AX123" s="31"/>
      <c r="AY123" s="23"/>
      <c r="AZ123" s="23"/>
      <c r="BA123" s="23"/>
      <c r="BB123" s="31"/>
      <c r="BC123" s="31"/>
      <c r="BD123" s="31"/>
      <c r="BE123" s="31"/>
      <c r="BF123" s="31"/>
      <c r="BG123" s="31"/>
      <c r="BH123" s="31"/>
      <c r="BI123" s="23"/>
      <c r="BJ123" s="31"/>
      <c r="BK123" s="31"/>
    </row>
    <row r="124" spans="1:63" ht="13.9">
      <c r="A124" s="31"/>
      <c r="B124" s="34"/>
      <c r="C124" s="31"/>
      <c r="D124" s="31"/>
      <c r="E124" s="42"/>
      <c r="F124" s="31"/>
      <c r="G124" s="31"/>
      <c r="H124" s="31"/>
      <c r="I124" s="31"/>
      <c r="J124" s="31"/>
      <c r="K124" s="31"/>
      <c r="L124" s="23"/>
      <c r="M124" s="40"/>
      <c r="N124" s="40"/>
      <c r="O124" s="40"/>
      <c r="P124" s="40"/>
      <c r="Q124" s="23"/>
      <c r="R124" s="40"/>
      <c r="S124" s="23"/>
      <c r="T124" s="23"/>
      <c r="U124" s="23"/>
      <c r="V124" s="23"/>
      <c r="W124" s="31"/>
      <c r="X124" s="23"/>
      <c r="Y124" s="23"/>
      <c r="Z124" s="40"/>
      <c r="AA124" s="23"/>
      <c r="AB124" s="23"/>
      <c r="AC124" s="40"/>
      <c r="AD124" s="41"/>
      <c r="AE124" s="23"/>
      <c r="AF124" s="40"/>
      <c r="AG124" s="41"/>
      <c r="AH124" s="23"/>
      <c r="AI124" s="40"/>
      <c r="AJ124" s="23"/>
      <c r="AK124" s="23"/>
      <c r="AL124" s="23"/>
      <c r="AM124" s="23"/>
      <c r="AN124" s="23"/>
      <c r="AO124" s="23"/>
      <c r="AP124" s="23"/>
      <c r="AQ124" s="23"/>
      <c r="AR124" s="23"/>
      <c r="AS124" s="31"/>
      <c r="AT124" s="31"/>
      <c r="AU124" s="23"/>
      <c r="AV124" s="23"/>
      <c r="AW124" s="23"/>
      <c r="AX124" s="31"/>
      <c r="AY124" s="23"/>
      <c r="AZ124" s="23"/>
      <c r="BA124" s="23"/>
      <c r="BB124" s="31"/>
      <c r="BC124" s="31"/>
      <c r="BD124" s="31"/>
      <c r="BE124" s="31"/>
      <c r="BF124" s="31"/>
      <c r="BG124" s="31"/>
      <c r="BH124" s="31"/>
      <c r="BI124" s="23"/>
      <c r="BJ124" s="31"/>
      <c r="BK124" s="31"/>
    </row>
    <row r="125" spans="1:63" ht="13.9">
      <c r="A125" s="31"/>
      <c r="B125" s="34"/>
      <c r="C125" s="31"/>
      <c r="D125" s="31"/>
      <c r="E125" s="42"/>
      <c r="F125" s="31"/>
      <c r="G125" s="31"/>
      <c r="H125" s="31"/>
      <c r="I125" s="31"/>
      <c r="J125" s="31"/>
      <c r="K125" s="31"/>
      <c r="L125" s="23"/>
      <c r="M125" s="40"/>
      <c r="N125" s="40"/>
      <c r="O125" s="40"/>
      <c r="P125" s="40"/>
      <c r="Q125" s="23"/>
      <c r="R125" s="40"/>
      <c r="S125" s="23"/>
      <c r="T125" s="23"/>
      <c r="U125" s="23"/>
      <c r="V125" s="23"/>
      <c r="W125" s="31"/>
      <c r="X125" s="23"/>
      <c r="Y125" s="23"/>
      <c r="Z125" s="40"/>
      <c r="AA125" s="23"/>
      <c r="AB125" s="23"/>
      <c r="AC125" s="40"/>
      <c r="AD125" s="41"/>
      <c r="AE125" s="23"/>
      <c r="AF125" s="40"/>
      <c r="AG125" s="41"/>
      <c r="AH125" s="23"/>
      <c r="AI125" s="40"/>
      <c r="AJ125" s="23"/>
      <c r="AK125" s="23"/>
      <c r="AL125" s="23"/>
      <c r="AM125" s="23"/>
      <c r="AN125" s="23"/>
      <c r="AO125" s="23"/>
      <c r="AP125" s="23"/>
      <c r="AQ125" s="23"/>
      <c r="AR125" s="23"/>
      <c r="AS125" s="31"/>
      <c r="AT125" s="31"/>
      <c r="AU125" s="23"/>
      <c r="AV125" s="23"/>
      <c r="AW125" s="23"/>
      <c r="AX125" s="31"/>
      <c r="AY125" s="23"/>
      <c r="AZ125" s="23"/>
      <c r="BA125" s="23"/>
      <c r="BB125" s="31"/>
      <c r="BC125" s="31"/>
      <c r="BD125" s="31"/>
      <c r="BE125" s="31"/>
      <c r="BF125" s="31"/>
      <c r="BG125" s="31"/>
      <c r="BH125" s="31"/>
      <c r="BI125" s="23"/>
      <c r="BJ125" s="31"/>
      <c r="BK125" s="31"/>
    </row>
    <row r="126" spans="1:63" ht="13.9">
      <c r="A126" s="31"/>
      <c r="B126" s="34"/>
      <c r="C126" s="31"/>
      <c r="D126" s="31"/>
      <c r="E126" s="42"/>
      <c r="F126" s="31"/>
      <c r="G126" s="31"/>
      <c r="H126" s="31"/>
      <c r="I126" s="31"/>
      <c r="J126" s="31"/>
      <c r="K126" s="31"/>
      <c r="L126" s="23"/>
      <c r="M126" s="40"/>
      <c r="N126" s="40"/>
      <c r="O126" s="40"/>
      <c r="P126" s="40"/>
      <c r="Q126" s="23"/>
      <c r="R126" s="40"/>
      <c r="S126" s="23"/>
      <c r="T126" s="23"/>
      <c r="U126" s="23"/>
      <c r="V126" s="23"/>
      <c r="W126" s="31"/>
      <c r="X126" s="23"/>
      <c r="Y126" s="23"/>
      <c r="Z126" s="40"/>
      <c r="AA126" s="23"/>
      <c r="AB126" s="23"/>
      <c r="AC126" s="40"/>
      <c r="AD126" s="41"/>
      <c r="AE126" s="23"/>
      <c r="AF126" s="40"/>
      <c r="AG126" s="41"/>
      <c r="AH126" s="23"/>
      <c r="AI126" s="40"/>
      <c r="AJ126" s="23"/>
      <c r="AK126" s="23"/>
      <c r="AL126" s="23"/>
      <c r="AM126" s="23"/>
      <c r="AN126" s="23"/>
      <c r="AO126" s="23"/>
      <c r="AP126" s="23"/>
      <c r="AQ126" s="23"/>
      <c r="AR126" s="23"/>
      <c r="AS126" s="31"/>
      <c r="AT126" s="31"/>
      <c r="AU126" s="23"/>
      <c r="AV126" s="23"/>
      <c r="AW126" s="23"/>
      <c r="AX126" s="31"/>
      <c r="AY126" s="23"/>
      <c r="AZ126" s="23"/>
      <c r="BA126" s="23"/>
      <c r="BB126" s="31"/>
      <c r="BC126" s="31"/>
      <c r="BD126" s="31"/>
      <c r="BE126" s="31"/>
      <c r="BF126" s="31"/>
      <c r="BG126" s="31"/>
      <c r="BH126" s="31"/>
      <c r="BI126" s="23"/>
      <c r="BJ126" s="31"/>
      <c r="BK126" s="31"/>
    </row>
    <row r="127" spans="1:63" ht="13.9">
      <c r="A127" s="31"/>
      <c r="B127" s="34"/>
      <c r="C127" s="31"/>
      <c r="D127" s="31"/>
      <c r="E127" s="42"/>
      <c r="F127" s="31"/>
      <c r="G127" s="31"/>
      <c r="H127" s="31"/>
      <c r="I127" s="31"/>
      <c r="J127" s="31"/>
      <c r="K127" s="31"/>
      <c r="L127" s="23"/>
      <c r="M127" s="40"/>
      <c r="N127" s="40"/>
      <c r="O127" s="40"/>
      <c r="P127" s="40"/>
      <c r="Q127" s="23"/>
      <c r="R127" s="40"/>
      <c r="S127" s="23"/>
      <c r="T127" s="23"/>
      <c r="U127" s="23"/>
      <c r="V127" s="23"/>
      <c r="W127" s="31"/>
      <c r="X127" s="23"/>
      <c r="Y127" s="23"/>
      <c r="Z127" s="40"/>
      <c r="AA127" s="23"/>
      <c r="AB127" s="23"/>
      <c r="AC127" s="40"/>
      <c r="AD127" s="41"/>
      <c r="AE127" s="23"/>
      <c r="AF127" s="40"/>
      <c r="AG127" s="41"/>
      <c r="AH127" s="23"/>
      <c r="AI127" s="40"/>
      <c r="AJ127" s="23"/>
      <c r="AK127" s="23"/>
      <c r="AL127" s="23"/>
      <c r="AM127" s="23"/>
      <c r="AN127" s="23"/>
      <c r="AO127" s="23"/>
      <c r="AP127" s="23"/>
      <c r="AQ127" s="23"/>
      <c r="AR127" s="23"/>
      <c r="AS127" s="31"/>
      <c r="AT127" s="31"/>
      <c r="AU127" s="23"/>
      <c r="AV127" s="23"/>
      <c r="AW127" s="23"/>
      <c r="AX127" s="31"/>
      <c r="AY127" s="23"/>
      <c r="AZ127" s="23"/>
      <c r="BA127" s="23"/>
      <c r="BB127" s="31"/>
      <c r="BC127" s="31"/>
      <c r="BD127" s="31"/>
      <c r="BE127" s="31"/>
      <c r="BF127" s="31"/>
      <c r="BG127" s="31"/>
      <c r="BH127" s="31"/>
      <c r="BI127" s="23"/>
      <c r="BJ127" s="31"/>
      <c r="BK127" s="31"/>
    </row>
    <row r="128" spans="1:63" ht="13.9">
      <c r="A128" s="31"/>
      <c r="B128" s="34"/>
      <c r="C128" s="31"/>
      <c r="D128" s="31"/>
      <c r="E128" s="42"/>
      <c r="F128" s="31"/>
      <c r="G128" s="31"/>
      <c r="H128" s="31"/>
      <c r="I128" s="31"/>
      <c r="J128" s="31"/>
      <c r="K128" s="31"/>
      <c r="L128" s="23"/>
      <c r="M128" s="40"/>
      <c r="N128" s="40"/>
      <c r="O128" s="40"/>
      <c r="P128" s="40"/>
      <c r="Q128" s="23"/>
      <c r="R128" s="40"/>
      <c r="S128" s="23"/>
      <c r="T128" s="23"/>
      <c r="U128" s="23"/>
      <c r="V128" s="23"/>
      <c r="W128" s="31"/>
      <c r="X128" s="23"/>
      <c r="Y128" s="23"/>
      <c r="Z128" s="40"/>
      <c r="AA128" s="23"/>
      <c r="AB128" s="23"/>
      <c r="AC128" s="40"/>
      <c r="AD128" s="41"/>
      <c r="AE128" s="23"/>
      <c r="AF128" s="40"/>
      <c r="AG128" s="41"/>
      <c r="AH128" s="23"/>
      <c r="AI128" s="40"/>
      <c r="AJ128" s="23"/>
      <c r="AK128" s="23"/>
      <c r="AL128" s="23"/>
      <c r="AM128" s="23"/>
      <c r="AN128" s="23"/>
      <c r="AO128" s="23"/>
      <c r="AP128" s="23"/>
      <c r="AQ128" s="23"/>
      <c r="AR128" s="23"/>
      <c r="AS128" s="31"/>
      <c r="AT128" s="31"/>
      <c r="AU128" s="23"/>
      <c r="AV128" s="23"/>
      <c r="AW128" s="23"/>
      <c r="AX128" s="31"/>
      <c r="AY128" s="23"/>
      <c r="AZ128" s="23"/>
      <c r="BA128" s="23"/>
      <c r="BB128" s="31"/>
      <c r="BC128" s="31"/>
      <c r="BD128" s="31"/>
      <c r="BE128" s="31"/>
      <c r="BF128" s="31"/>
      <c r="BG128" s="31"/>
      <c r="BH128" s="31"/>
      <c r="BI128" s="23"/>
      <c r="BJ128" s="31"/>
      <c r="BK128" s="31"/>
    </row>
    <row r="129" spans="1:63" ht="13.9">
      <c r="A129" s="31"/>
      <c r="B129" s="34"/>
      <c r="C129" s="31"/>
      <c r="D129" s="31"/>
      <c r="E129" s="42"/>
      <c r="F129" s="31"/>
      <c r="G129" s="31"/>
      <c r="H129" s="31"/>
      <c r="I129" s="31"/>
      <c r="J129" s="31"/>
      <c r="K129" s="31"/>
      <c r="L129" s="23"/>
      <c r="M129" s="40"/>
      <c r="N129" s="40"/>
      <c r="O129" s="40"/>
      <c r="P129" s="40"/>
      <c r="Q129" s="23"/>
      <c r="R129" s="40"/>
      <c r="S129" s="23"/>
      <c r="T129" s="23"/>
      <c r="U129" s="23"/>
      <c r="V129" s="23"/>
      <c r="W129" s="31"/>
      <c r="X129" s="23"/>
      <c r="Y129" s="23"/>
      <c r="Z129" s="40"/>
      <c r="AA129" s="23"/>
      <c r="AB129" s="23"/>
      <c r="AC129" s="40"/>
      <c r="AD129" s="41"/>
      <c r="AE129" s="23"/>
      <c r="AF129" s="40"/>
      <c r="AG129" s="41"/>
      <c r="AH129" s="23"/>
      <c r="AI129" s="40"/>
      <c r="AJ129" s="23"/>
      <c r="AK129" s="23"/>
      <c r="AL129" s="23"/>
      <c r="AM129" s="23"/>
      <c r="AN129" s="23"/>
      <c r="AO129" s="23"/>
      <c r="AP129" s="23"/>
      <c r="AQ129" s="23"/>
      <c r="AR129" s="23"/>
      <c r="AS129" s="31"/>
      <c r="AT129" s="31"/>
      <c r="AU129" s="23"/>
      <c r="AV129" s="23"/>
      <c r="AW129" s="23"/>
      <c r="AX129" s="31"/>
      <c r="AY129" s="23"/>
      <c r="AZ129" s="23"/>
      <c r="BA129" s="23"/>
      <c r="BB129" s="31"/>
      <c r="BC129" s="31"/>
      <c r="BD129" s="31"/>
      <c r="BE129" s="31"/>
      <c r="BF129" s="31"/>
      <c r="BG129" s="31"/>
      <c r="BH129" s="31"/>
      <c r="BI129" s="23"/>
      <c r="BJ129" s="31"/>
      <c r="BK129" s="31"/>
    </row>
    <row r="130" spans="1:63" ht="13.9">
      <c r="A130" s="31"/>
      <c r="B130" s="34"/>
      <c r="C130" s="31"/>
      <c r="D130" s="31"/>
      <c r="E130" s="42"/>
      <c r="F130" s="31"/>
      <c r="G130" s="31"/>
      <c r="H130" s="31"/>
      <c r="I130" s="31"/>
      <c r="J130" s="31"/>
      <c r="K130" s="31"/>
      <c r="L130" s="23"/>
      <c r="M130" s="40"/>
      <c r="N130" s="40"/>
      <c r="O130" s="40"/>
      <c r="P130" s="40"/>
      <c r="Q130" s="23"/>
      <c r="R130" s="40"/>
      <c r="S130" s="23"/>
      <c r="T130" s="23"/>
      <c r="U130" s="23"/>
      <c r="V130" s="23"/>
      <c r="W130" s="31"/>
      <c r="X130" s="23"/>
      <c r="Y130" s="23"/>
      <c r="Z130" s="40"/>
      <c r="AA130" s="23"/>
      <c r="AB130" s="23"/>
      <c r="AC130" s="40"/>
      <c r="AD130" s="41"/>
      <c r="AE130" s="23"/>
      <c r="AF130" s="40"/>
      <c r="AG130" s="41"/>
      <c r="AH130" s="23"/>
      <c r="AI130" s="40"/>
      <c r="AJ130" s="23"/>
      <c r="AK130" s="23"/>
      <c r="AL130" s="23"/>
      <c r="AM130" s="23"/>
      <c r="AN130" s="23"/>
      <c r="AO130" s="23"/>
      <c r="AP130" s="23"/>
      <c r="AQ130" s="23"/>
      <c r="AR130" s="23"/>
      <c r="AS130" s="31"/>
      <c r="AT130" s="31"/>
      <c r="AU130" s="23"/>
      <c r="AV130" s="23"/>
      <c r="AW130" s="23"/>
      <c r="AX130" s="31"/>
      <c r="AY130" s="23"/>
      <c r="AZ130" s="23"/>
      <c r="BA130" s="23"/>
      <c r="BB130" s="31"/>
      <c r="BC130" s="31"/>
      <c r="BD130" s="31"/>
      <c r="BE130" s="31"/>
      <c r="BF130" s="31"/>
      <c r="BG130" s="31"/>
      <c r="BH130" s="31"/>
      <c r="BI130" s="23"/>
      <c r="BJ130" s="31"/>
      <c r="BK130" s="31"/>
    </row>
    <row r="131" spans="1:63" ht="13.9">
      <c r="A131" s="31"/>
      <c r="B131" s="34"/>
      <c r="C131" s="31"/>
      <c r="D131" s="31"/>
      <c r="E131" s="42"/>
      <c r="F131" s="31"/>
      <c r="G131" s="31"/>
      <c r="H131" s="31"/>
      <c r="I131" s="31"/>
      <c r="J131" s="31"/>
      <c r="K131" s="31"/>
      <c r="L131" s="23"/>
      <c r="M131" s="40"/>
      <c r="N131" s="40"/>
      <c r="O131" s="40"/>
      <c r="P131" s="40"/>
      <c r="Q131" s="23"/>
      <c r="R131" s="40"/>
      <c r="S131" s="23"/>
      <c r="T131" s="23"/>
      <c r="U131" s="23"/>
      <c r="V131" s="23"/>
      <c r="W131" s="31"/>
      <c r="X131" s="23"/>
      <c r="Y131" s="23"/>
      <c r="Z131" s="40"/>
      <c r="AA131" s="23"/>
      <c r="AB131" s="23"/>
      <c r="AC131" s="40"/>
      <c r="AD131" s="41"/>
      <c r="AE131" s="23"/>
      <c r="AF131" s="40"/>
      <c r="AG131" s="41"/>
      <c r="AH131" s="23"/>
      <c r="AI131" s="40"/>
      <c r="AJ131" s="23"/>
      <c r="AK131" s="23"/>
      <c r="AL131" s="23"/>
      <c r="AM131" s="23"/>
      <c r="AN131" s="23"/>
      <c r="AO131" s="23"/>
      <c r="AP131" s="23"/>
      <c r="AQ131" s="23"/>
      <c r="AR131" s="23"/>
      <c r="AS131" s="31"/>
      <c r="AT131" s="31"/>
      <c r="AU131" s="23"/>
      <c r="AV131" s="23"/>
      <c r="AW131" s="23"/>
      <c r="AX131" s="31"/>
      <c r="AY131" s="23"/>
      <c r="AZ131" s="23"/>
      <c r="BA131" s="23"/>
      <c r="BB131" s="31"/>
      <c r="BC131" s="31"/>
      <c r="BD131" s="31"/>
      <c r="BE131" s="31"/>
      <c r="BF131" s="31"/>
      <c r="BG131" s="31"/>
      <c r="BH131" s="31"/>
      <c r="BI131" s="23"/>
      <c r="BJ131" s="31"/>
      <c r="BK131" s="31"/>
    </row>
    <row r="132" spans="1:63" ht="13.9">
      <c r="A132" s="31"/>
      <c r="B132" s="34"/>
      <c r="C132" s="31"/>
      <c r="D132" s="31"/>
      <c r="E132" s="42"/>
      <c r="F132" s="31"/>
      <c r="G132" s="31"/>
      <c r="H132" s="31"/>
      <c r="I132" s="31"/>
      <c r="J132" s="31"/>
      <c r="K132" s="31"/>
      <c r="L132" s="23"/>
      <c r="M132" s="40"/>
      <c r="N132" s="40"/>
      <c r="O132" s="40"/>
      <c r="P132" s="40"/>
      <c r="Q132" s="23"/>
      <c r="R132" s="40"/>
      <c r="S132" s="23"/>
      <c r="T132" s="23"/>
      <c r="U132" s="23"/>
      <c r="V132" s="23"/>
      <c r="W132" s="31"/>
      <c r="X132" s="23"/>
      <c r="Y132" s="23"/>
      <c r="Z132" s="40"/>
      <c r="AA132" s="23"/>
      <c r="AB132" s="23"/>
      <c r="AC132" s="40"/>
      <c r="AD132" s="41"/>
      <c r="AE132" s="23"/>
      <c r="AF132" s="40"/>
      <c r="AG132" s="41"/>
      <c r="AH132" s="23"/>
      <c r="AI132" s="40"/>
      <c r="AJ132" s="23"/>
      <c r="AK132" s="23"/>
      <c r="AL132" s="23"/>
      <c r="AM132" s="23"/>
      <c r="AN132" s="23"/>
      <c r="AO132" s="23"/>
      <c r="AP132" s="23"/>
      <c r="AQ132" s="23"/>
      <c r="AR132" s="23"/>
      <c r="AS132" s="31"/>
      <c r="AT132" s="31"/>
      <c r="AU132" s="23"/>
      <c r="AV132" s="23"/>
      <c r="AW132" s="23"/>
      <c r="AX132" s="31"/>
      <c r="AY132" s="23"/>
      <c r="AZ132" s="23"/>
      <c r="BA132" s="23"/>
      <c r="BB132" s="31"/>
      <c r="BC132" s="31"/>
      <c r="BD132" s="31"/>
      <c r="BE132" s="31"/>
      <c r="BF132" s="31"/>
      <c r="BG132" s="31"/>
      <c r="BH132" s="31"/>
      <c r="BI132" s="23"/>
      <c r="BJ132" s="31"/>
      <c r="BK132" s="31"/>
    </row>
    <row r="133" spans="1:63" ht="13.9">
      <c r="A133" s="31"/>
      <c r="B133" s="34"/>
      <c r="C133" s="31"/>
      <c r="D133" s="31"/>
      <c r="E133" s="42"/>
      <c r="F133" s="31"/>
      <c r="G133" s="31"/>
      <c r="H133" s="31"/>
      <c r="I133" s="31"/>
      <c r="J133" s="31"/>
      <c r="K133" s="31"/>
      <c r="L133" s="23"/>
      <c r="M133" s="40"/>
      <c r="N133" s="40"/>
      <c r="O133" s="40"/>
      <c r="P133" s="40"/>
      <c r="Q133" s="23"/>
      <c r="R133" s="40"/>
      <c r="S133" s="23"/>
      <c r="T133" s="23"/>
      <c r="U133" s="23"/>
      <c r="V133" s="23"/>
      <c r="W133" s="31"/>
      <c r="X133" s="23"/>
      <c r="Y133" s="23"/>
      <c r="Z133" s="40"/>
      <c r="AA133" s="23"/>
      <c r="AB133" s="23"/>
      <c r="AC133" s="40"/>
      <c r="AD133" s="41"/>
      <c r="AE133" s="23"/>
      <c r="AF133" s="40"/>
      <c r="AG133" s="41"/>
      <c r="AH133" s="23"/>
      <c r="AI133" s="40"/>
      <c r="AJ133" s="23"/>
      <c r="AK133" s="23"/>
      <c r="AL133" s="23"/>
      <c r="AM133" s="23"/>
      <c r="AN133" s="23"/>
      <c r="AO133" s="23"/>
      <c r="AP133" s="23"/>
      <c r="AQ133" s="23"/>
      <c r="AR133" s="23"/>
      <c r="AS133" s="31"/>
      <c r="AT133" s="31"/>
      <c r="AU133" s="23"/>
      <c r="AV133" s="23"/>
      <c r="AW133" s="23"/>
      <c r="AX133" s="31"/>
      <c r="AY133" s="23"/>
      <c r="AZ133" s="23"/>
      <c r="BA133" s="23"/>
      <c r="BB133" s="31"/>
      <c r="BC133" s="31"/>
      <c r="BD133" s="31"/>
      <c r="BE133" s="31"/>
      <c r="BF133" s="31"/>
      <c r="BG133" s="31"/>
      <c r="BH133" s="31"/>
      <c r="BI133" s="23"/>
      <c r="BJ133" s="31"/>
      <c r="BK133" s="31"/>
    </row>
    <row r="134" spans="1:63" ht="13.9">
      <c r="A134" s="31"/>
      <c r="B134" s="34"/>
      <c r="C134" s="31"/>
      <c r="D134" s="31"/>
      <c r="E134" s="42"/>
      <c r="F134" s="31"/>
      <c r="G134" s="31"/>
      <c r="H134" s="31"/>
      <c r="I134" s="31"/>
      <c r="J134" s="31"/>
      <c r="K134" s="31"/>
      <c r="L134" s="23"/>
      <c r="M134" s="40"/>
      <c r="N134" s="40"/>
      <c r="O134" s="40"/>
      <c r="P134" s="40"/>
      <c r="Q134" s="23"/>
      <c r="R134" s="40"/>
      <c r="S134" s="23"/>
      <c r="T134" s="23"/>
      <c r="U134" s="23"/>
      <c r="V134" s="23"/>
      <c r="W134" s="31"/>
      <c r="X134" s="23"/>
      <c r="Y134" s="23"/>
      <c r="Z134" s="40"/>
      <c r="AA134" s="23"/>
      <c r="AB134" s="23"/>
      <c r="AC134" s="40"/>
      <c r="AD134" s="41"/>
      <c r="AE134" s="23"/>
      <c r="AF134" s="40"/>
      <c r="AG134" s="41"/>
      <c r="AH134" s="23"/>
      <c r="AI134" s="40"/>
      <c r="AJ134" s="23"/>
      <c r="AK134" s="23"/>
      <c r="AL134" s="23"/>
      <c r="AM134" s="23"/>
      <c r="AN134" s="23"/>
      <c r="AO134" s="23"/>
      <c r="AP134" s="23"/>
      <c r="AQ134" s="23"/>
      <c r="AR134" s="23"/>
      <c r="AS134" s="31"/>
      <c r="AT134" s="31"/>
      <c r="AU134" s="23"/>
      <c r="AV134" s="23"/>
      <c r="AW134" s="23"/>
      <c r="AX134" s="31"/>
      <c r="AY134" s="23"/>
      <c r="AZ134" s="23"/>
      <c r="BA134" s="23"/>
      <c r="BB134" s="31"/>
      <c r="BC134" s="31"/>
      <c r="BD134" s="31"/>
      <c r="BE134" s="31"/>
      <c r="BF134" s="31"/>
      <c r="BG134" s="31"/>
      <c r="BH134" s="31"/>
      <c r="BI134" s="23"/>
      <c r="BJ134" s="31"/>
      <c r="BK134" s="31"/>
    </row>
    <row r="135" spans="1:63" ht="13.9">
      <c r="A135" s="31"/>
      <c r="B135" s="34"/>
      <c r="C135" s="31"/>
      <c r="D135" s="31"/>
      <c r="E135" s="42"/>
      <c r="F135" s="31"/>
      <c r="G135" s="31"/>
      <c r="H135" s="31"/>
      <c r="I135" s="31"/>
      <c r="J135" s="31"/>
      <c r="K135" s="31"/>
      <c r="L135" s="23"/>
      <c r="M135" s="40"/>
      <c r="N135" s="40"/>
      <c r="O135" s="40"/>
      <c r="P135" s="40"/>
      <c r="Q135" s="23"/>
      <c r="R135" s="40"/>
      <c r="S135" s="23"/>
      <c r="T135" s="23"/>
      <c r="U135" s="23"/>
      <c r="V135" s="23"/>
      <c r="W135" s="31"/>
      <c r="X135" s="23"/>
      <c r="Y135" s="23"/>
      <c r="Z135" s="40"/>
      <c r="AA135" s="23"/>
      <c r="AB135" s="23"/>
      <c r="AC135" s="40"/>
      <c r="AD135" s="41"/>
      <c r="AE135" s="23"/>
      <c r="AF135" s="40"/>
      <c r="AG135" s="41"/>
      <c r="AH135" s="23"/>
      <c r="AI135" s="40"/>
      <c r="AJ135" s="23"/>
      <c r="AK135" s="23"/>
      <c r="AL135" s="23"/>
      <c r="AM135" s="23"/>
      <c r="AN135" s="23"/>
      <c r="AO135" s="23"/>
      <c r="AP135" s="23"/>
      <c r="AQ135" s="23"/>
      <c r="AR135" s="23"/>
      <c r="AS135" s="31"/>
      <c r="AT135" s="31"/>
      <c r="AU135" s="23"/>
      <c r="AV135" s="23"/>
      <c r="AW135" s="23"/>
      <c r="AX135" s="31"/>
      <c r="AY135" s="23"/>
      <c r="AZ135" s="23"/>
      <c r="BA135" s="23"/>
      <c r="BB135" s="31"/>
      <c r="BC135" s="31"/>
      <c r="BD135" s="31"/>
      <c r="BE135" s="31"/>
      <c r="BF135" s="31"/>
      <c r="BG135" s="31"/>
      <c r="BH135" s="31"/>
      <c r="BI135" s="23"/>
      <c r="BJ135" s="31"/>
      <c r="BK135" s="31"/>
    </row>
    <row r="136" spans="1:63" ht="13.9">
      <c r="A136" s="31"/>
      <c r="B136" s="34"/>
      <c r="C136" s="31"/>
      <c r="D136" s="31"/>
      <c r="E136" s="42"/>
      <c r="F136" s="31"/>
      <c r="G136" s="31"/>
      <c r="H136" s="31"/>
      <c r="I136" s="31"/>
      <c r="J136" s="31"/>
      <c r="K136" s="31"/>
      <c r="L136" s="23"/>
      <c r="M136" s="40"/>
      <c r="N136" s="40"/>
      <c r="O136" s="40"/>
      <c r="P136" s="40"/>
      <c r="Q136" s="23"/>
      <c r="R136" s="40"/>
      <c r="S136" s="23"/>
      <c r="T136" s="23"/>
      <c r="U136" s="23"/>
      <c r="V136" s="23"/>
      <c r="W136" s="31"/>
      <c r="X136" s="23"/>
      <c r="Y136" s="23"/>
      <c r="Z136" s="40"/>
      <c r="AA136" s="23"/>
      <c r="AB136" s="23"/>
      <c r="AC136" s="40"/>
      <c r="AD136" s="41"/>
      <c r="AE136" s="23"/>
      <c r="AF136" s="40"/>
      <c r="AG136" s="41"/>
      <c r="AH136" s="23"/>
      <c r="AI136" s="40"/>
      <c r="AJ136" s="23"/>
      <c r="AK136" s="23"/>
      <c r="AL136" s="23"/>
      <c r="AM136" s="23"/>
      <c r="AN136" s="23"/>
      <c r="AO136" s="23"/>
      <c r="AP136" s="23"/>
      <c r="AQ136" s="23"/>
      <c r="AR136" s="23"/>
      <c r="AS136" s="31"/>
      <c r="AT136" s="31"/>
      <c r="AU136" s="23"/>
      <c r="AV136" s="23"/>
      <c r="AW136" s="23"/>
      <c r="AX136" s="31"/>
      <c r="AY136" s="23"/>
      <c r="AZ136" s="23"/>
      <c r="BA136" s="23"/>
      <c r="BB136" s="31"/>
      <c r="BC136" s="31"/>
      <c r="BD136" s="31"/>
      <c r="BE136" s="31"/>
      <c r="BF136" s="31"/>
      <c r="BG136" s="31"/>
      <c r="BH136" s="31"/>
      <c r="BI136" s="23"/>
      <c r="BJ136" s="31"/>
      <c r="BK136" s="31"/>
    </row>
    <row r="137" spans="1:63" ht="13.9">
      <c r="A137" s="31"/>
      <c r="B137" s="34"/>
      <c r="C137" s="31"/>
      <c r="D137" s="31"/>
      <c r="E137" s="42"/>
      <c r="F137" s="31"/>
      <c r="G137" s="31"/>
      <c r="H137" s="31"/>
      <c r="I137" s="31"/>
      <c r="J137" s="31"/>
      <c r="K137" s="31"/>
      <c r="L137" s="23"/>
      <c r="M137" s="40"/>
      <c r="N137" s="40"/>
      <c r="O137" s="40"/>
      <c r="P137" s="40"/>
      <c r="Q137" s="23"/>
      <c r="R137" s="40"/>
      <c r="S137" s="23"/>
      <c r="T137" s="23"/>
      <c r="U137" s="23"/>
      <c r="V137" s="23"/>
      <c r="W137" s="31"/>
      <c r="X137" s="23"/>
      <c r="Y137" s="23"/>
      <c r="Z137" s="40"/>
      <c r="AA137" s="23"/>
      <c r="AB137" s="23"/>
      <c r="AC137" s="40"/>
      <c r="AD137" s="41"/>
      <c r="AE137" s="23"/>
      <c r="AF137" s="40"/>
      <c r="AG137" s="41"/>
      <c r="AH137" s="23"/>
      <c r="AI137" s="40"/>
      <c r="AJ137" s="23"/>
      <c r="AK137" s="23"/>
      <c r="AL137" s="23"/>
      <c r="AM137" s="23"/>
      <c r="AN137" s="23"/>
      <c r="AO137" s="23"/>
      <c r="AP137" s="23"/>
      <c r="AQ137" s="23"/>
      <c r="AR137" s="23"/>
      <c r="AS137" s="31"/>
      <c r="AT137" s="31"/>
      <c r="AU137" s="23"/>
      <c r="AV137" s="23"/>
      <c r="AW137" s="23"/>
      <c r="AX137" s="31"/>
      <c r="AY137" s="23"/>
      <c r="AZ137" s="23"/>
      <c r="BA137" s="23"/>
      <c r="BB137" s="31"/>
      <c r="BC137" s="31"/>
      <c r="BD137" s="31"/>
      <c r="BE137" s="31"/>
      <c r="BF137" s="31"/>
      <c r="BG137" s="31"/>
      <c r="BH137" s="31"/>
      <c r="BI137" s="23"/>
      <c r="BJ137" s="31"/>
      <c r="BK137" s="31"/>
    </row>
    <row r="138" spans="1:63" ht="13.9">
      <c r="A138" s="31"/>
      <c r="B138" s="34"/>
      <c r="C138" s="31"/>
      <c r="D138" s="31"/>
      <c r="E138" s="42"/>
      <c r="F138" s="31"/>
      <c r="G138" s="31"/>
      <c r="H138" s="31"/>
      <c r="I138" s="31"/>
      <c r="J138" s="31"/>
      <c r="K138" s="31"/>
      <c r="L138" s="23"/>
      <c r="M138" s="40"/>
      <c r="N138" s="40"/>
      <c r="O138" s="40"/>
      <c r="P138" s="40"/>
      <c r="Q138" s="23"/>
      <c r="R138" s="40"/>
      <c r="S138" s="23"/>
      <c r="T138" s="23"/>
      <c r="U138" s="23"/>
      <c r="V138" s="23"/>
      <c r="W138" s="31"/>
      <c r="X138" s="23"/>
      <c r="Y138" s="23"/>
      <c r="Z138" s="40"/>
      <c r="AA138" s="23"/>
      <c r="AB138" s="23"/>
      <c r="AC138" s="40"/>
      <c r="AD138" s="41"/>
      <c r="AE138" s="23"/>
      <c r="AF138" s="40"/>
      <c r="AG138" s="41"/>
      <c r="AH138" s="23"/>
      <c r="AI138" s="40"/>
      <c r="AJ138" s="23"/>
      <c r="AK138" s="23"/>
      <c r="AL138" s="23"/>
      <c r="AM138" s="23"/>
      <c r="AN138" s="23"/>
      <c r="AO138" s="23"/>
      <c r="AP138" s="23"/>
      <c r="AQ138" s="23"/>
      <c r="AR138" s="23"/>
      <c r="AS138" s="31"/>
      <c r="AT138" s="31"/>
      <c r="AU138" s="23"/>
      <c r="AV138" s="23"/>
      <c r="AW138" s="23"/>
      <c r="AX138" s="31"/>
      <c r="AY138" s="23"/>
      <c r="AZ138" s="23"/>
      <c r="BA138" s="23"/>
      <c r="BB138" s="31"/>
      <c r="BC138" s="31"/>
      <c r="BD138" s="31"/>
      <c r="BE138" s="31"/>
      <c r="BF138" s="31"/>
      <c r="BG138" s="31"/>
      <c r="BH138" s="31"/>
      <c r="BI138" s="23"/>
      <c r="BJ138" s="31"/>
      <c r="BK138" s="31"/>
    </row>
    <row r="139" spans="1:63" ht="13.9">
      <c r="A139" s="31"/>
      <c r="B139" s="34"/>
      <c r="C139" s="31"/>
      <c r="D139" s="31"/>
      <c r="E139" s="42"/>
      <c r="F139" s="31"/>
      <c r="G139" s="31"/>
      <c r="H139" s="31"/>
      <c r="I139" s="31"/>
      <c r="J139" s="31"/>
      <c r="K139" s="31"/>
      <c r="L139" s="23"/>
      <c r="M139" s="40"/>
      <c r="N139" s="40"/>
      <c r="O139" s="40"/>
      <c r="P139" s="40"/>
      <c r="Q139" s="23"/>
      <c r="R139" s="40"/>
      <c r="S139" s="23"/>
      <c r="T139" s="23"/>
      <c r="U139" s="23"/>
      <c r="V139" s="23"/>
      <c r="W139" s="31"/>
      <c r="X139" s="23"/>
      <c r="Y139" s="23"/>
      <c r="Z139" s="40"/>
      <c r="AA139" s="23"/>
      <c r="AB139" s="23"/>
      <c r="AC139" s="40"/>
      <c r="AD139" s="41"/>
      <c r="AE139" s="23"/>
      <c r="AF139" s="40"/>
      <c r="AG139" s="41"/>
      <c r="AH139" s="23"/>
      <c r="AI139" s="40"/>
      <c r="AJ139" s="23"/>
      <c r="AK139" s="23"/>
      <c r="AL139" s="23"/>
      <c r="AM139" s="23"/>
      <c r="AN139" s="23"/>
      <c r="AO139" s="23"/>
      <c r="AP139" s="23"/>
      <c r="AQ139" s="23"/>
      <c r="AR139" s="23"/>
      <c r="AS139" s="31"/>
      <c r="AT139" s="31"/>
      <c r="AU139" s="23"/>
      <c r="AV139" s="23"/>
      <c r="AW139" s="23"/>
      <c r="AX139" s="31"/>
      <c r="AY139" s="23"/>
      <c r="AZ139" s="23"/>
      <c r="BA139" s="23"/>
      <c r="BB139" s="31"/>
      <c r="BC139" s="31"/>
      <c r="BD139" s="31"/>
      <c r="BE139" s="31"/>
      <c r="BF139" s="31"/>
      <c r="BG139" s="31"/>
      <c r="BH139" s="31"/>
      <c r="BI139" s="23"/>
      <c r="BJ139" s="31"/>
      <c r="BK139" s="31"/>
    </row>
    <row r="140" spans="1:63" ht="13.9">
      <c r="A140" s="31"/>
      <c r="B140" s="34"/>
      <c r="C140" s="31"/>
      <c r="D140" s="31"/>
      <c r="E140" s="42"/>
      <c r="F140" s="31"/>
      <c r="G140" s="31"/>
      <c r="H140" s="31"/>
      <c r="I140" s="31"/>
      <c r="J140" s="31"/>
      <c r="K140" s="31"/>
      <c r="L140" s="23"/>
      <c r="M140" s="40"/>
      <c r="N140" s="40"/>
      <c r="O140" s="40"/>
      <c r="P140" s="40"/>
      <c r="Q140" s="23"/>
      <c r="R140" s="40"/>
      <c r="S140" s="23"/>
      <c r="T140" s="23"/>
      <c r="U140" s="23"/>
      <c r="V140" s="23"/>
      <c r="W140" s="31"/>
      <c r="X140" s="23"/>
      <c r="Y140" s="23"/>
      <c r="Z140" s="40"/>
      <c r="AA140" s="23"/>
      <c r="AB140" s="23"/>
      <c r="AC140" s="40"/>
      <c r="AD140" s="41"/>
      <c r="AE140" s="23"/>
      <c r="AF140" s="40"/>
      <c r="AG140" s="41"/>
      <c r="AH140" s="23"/>
      <c r="AI140" s="40"/>
      <c r="AJ140" s="23"/>
      <c r="AK140" s="23"/>
      <c r="AL140" s="23"/>
      <c r="AM140" s="23"/>
      <c r="AN140" s="23"/>
      <c r="AO140" s="23"/>
      <c r="AP140" s="23"/>
      <c r="AQ140" s="23"/>
      <c r="AR140" s="23"/>
      <c r="AS140" s="31"/>
      <c r="AT140" s="31"/>
      <c r="AU140" s="23"/>
      <c r="AV140" s="23"/>
      <c r="AW140" s="23"/>
      <c r="AX140" s="31"/>
      <c r="AY140" s="23"/>
      <c r="AZ140" s="23"/>
      <c r="BA140" s="23"/>
      <c r="BB140" s="31"/>
      <c r="BC140" s="31"/>
      <c r="BD140" s="31"/>
      <c r="BE140" s="31"/>
      <c r="BF140" s="31"/>
      <c r="BG140" s="31"/>
      <c r="BH140" s="31"/>
      <c r="BI140" s="23"/>
      <c r="BJ140" s="31"/>
      <c r="BK140" s="31"/>
    </row>
    <row r="141" spans="1:63" ht="13.9">
      <c r="A141" s="31"/>
      <c r="B141" s="34"/>
      <c r="C141" s="31"/>
      <c r="D141" s="31"/>
      <c r="E141" s="42"/>
      <c r="F141" s="31"/>
      <c r="G141" s="31"/>
      <c r="H141" s="31"/>
      <c r="I141" s="31"/>
      <c r="J141" s="31"/>
      <c r="K141" s="31"/>
      <c r="L141" s="23"/>
      <c r="M141" s="40"/>
      <c r="N141" s="40"/>
      <c r="O141" s="40"/>
      <c r="P141" s="40"/>
      <c r="Q141" s="23"/>
      <c r="R141" s="40"/>
      <c r="S141" s="23"/>
      <c r="T141" s="23"/>
      <c r="U141" s="23"/>
      <c r="V141" s="23"/>
      <c r="W141" s="31"/>
      <c r="X141" s="23"/>
      <c r="Y141" s="23"/>
      <c r="Z141" s="40"/>
      <c r="AA141" s="23"/>
      <c r="AB141" s="23"/>
      <c r="AC141" s="40"/>
      <c r="AD141" s="41"/>
      <c r="AE141" s="23"/>
      <c r="AF141" s="40"/>
      <c r="AG141" s="41"/>
      <c r="AH141" s="23"/>
      <c r="AI141" s="40"/>
      <c r="AJ141" s="23"/>
      <c r="AK141" s="23"/>
      <c r="AL141" s="23"/>
      <c r="AM141" s="23"/>
      <c r="AN141" s="23"/>
      <c r="AO141" s="23"/>
      <c r="AP141" s="23"/>
      <c r="AQ141" s="23"/>
      <c r="AR141" s="23"/>
      <c r="AS141" s="31"/>
      <c r="AT141" s="31"/>
      <c r="AU141" s="23"/>
      <c r="AV141" s="23"/>
      <c r="AW141" s="23"/>
      <c r="AX141" s="31"/>
      <c r="AY141" s="23"/>
      <c r="AZ141" s="23"/>
      <c r="BA141" s="23"/>
      <c r="BB141" s="31"/>
      <c r="BC141" s="31"/>
      <c r="BD141" s="31"/>
      <c r="BE141" s="31"/>
      <c r="BF141" s="31"/>
      <c r="BG141" s="31"/>
      <c r="BH141" s="31"/>
      <c r="BI141" s="23"/>
      <c r="BJ141" s="31"/>
      <c r="BK141" s="31"/>
    </row>
    <row r="142" spans="1:63" ht="13.9">
      <c r="A142" s="31"/>
      <c r="B142" s="34"/>
      <c r="C142" s="31"/>
      <c r="D142" s="31"/>
      <c r="E142" s="42"/>
      <c r="F142" s="31"/>
      <c r="G142" s="31"/>
      <c r="H142" s="31"/>
      <c r="I142" s="31"/>
      <c r="J142" s="31"/>
      <c r="K142" s="31"/>
      <c r="L142" s="23"/>
      <c r="M142" s="40"/>
      <c r="N142" s="40"/>
      <c r="O142" s="40"/>
      <c r="P142" s="40"/>
      <c r="Q142" s="23"/>
      <c r="R142" s="40"/>
      <c r="S142" s="23"/>
      <c r="T142" s="23"/>
      <c r="U142" s="23"/>
      <c r="V142" s="23"/>
      <c r="W142" s="31"/>
      <c r="X142" s="23"/>
      <c r="Y142" s="23"/>
      <c r="Z142" s="40"/>
      <c r="AA142" s="23"/>
      <c r="AB142" s="23"/>
      <c r="AC142" s="40"/>
      <c r="AD142" s="41"/>
      <c r="AE142" s="23"/>
      <c r="AF142" s="40"/>
      <c r="AG142" s="41"/>
      <c r="AH142" s="23"/>
      <c r="AI142" s="40"/>
      <c r="AJ142" s="23"/>
      <c r="AK142" s="23"/>
      <c r="AL142" s="23"/>
      <c r="AM142" s="23"/>
      <c r="AN142" s="23"/>
      <c r="AO142" s="23"/>
      <c r="AP142" s="23"/>
      <c r="AQ142" s="23"/>
      <c r="AR142" s="23"/>
      <c r="AS142" s="31"/>
      <c r="AT142" s="31"/>
      <c r="AU142" s="23"/>
      <c r="AV142" s="23"/>
      <c r="AW142" s="23"/>
      <c r="AX142" s="31"/>
      <c r="AY142" s="23"/>
      <c r="AZ142" s="23"/>
      <c r="BA142" s="23"/>
      <c r="BB142" s="31"/>
      <c r="BC142" s="31"/>
      <c r="BD142" s="31"/>
      <c r="BE142" s="31"/>
      <c r="BF142" s="31"/>
      <c r="BG142" s="31"/>
      <c r="BH142" s="31"/>
      <c r="BI142" s="23"/>
      <c r="BJ142" s="31"/>
      <c r="BK142" s="31"/>
    </row>
    <row r="143" spans="1:63" ht="13.9">
      <c r="A143" s="31"/>
      <c r="B143" s="34"/>
      <c r="C143" s="31"/>
      <c r="D143" s="31"/>
      <c r="E143" s="42"/>
      <c r="F143" s="31"/>
      <c r="G143" s="31"/>
      <c r="H143" s="31"/>
      <c r="I143" s="31"/>
      <c r="J143" s="31"/>
      <c r="K143" s="31"/>
      <c r="L143" s="23"/>
      <c r="M143" s="40"/>
      <c r="N143" s="40"/>
      <c r="O143" s="40"/>
      <c r="P143" s="40"/>
      <c r="Q143" s="23"/>
      <c r="R143" s="40"/>
      <c r="S143" s="23"/>
      <c r="T143" s="23"/>
      <c r="U143" s="23"/>
      <c r="V143" s="23"/>
      <c r="W143" s="31"/>
      <c r="X143" s="23"/>
      <c r="Y143" s="23"/>
      <c r="Z143" s="40"/>
      <c r="AA143" s="23"/>
      <c r="AB143" s="23"/>
      <c r="AC143" s="40"/>
      <c r="AD143" s="41"/>
      <c r="AE143" s="23"/>
      <c r="AF143" s="40"/>
      <c r="AG143" s="41"/>
      <c r="AH143" s="23"/>
      <c r="AI143" s="40"/>
      <c r="AJ143" s="23"/>
      <c r="AK143" s="23"/>
      <c r="AL143" s="23"/>
      <c r="AM143" s="23"/>
      <c r="AN143" s="23"/>
      <c r="AO143" s="23"/>
      <c r="AP143" s="23"/>
      <c r="AQ143" s="23"/>
      <c r="AR143" s="23"/>
      <c r="AS143" s="31"/>
      <c r="AT143" s="31"/>
      <c r="AU143" s="23"/>
      <c r="AV143" s="23"/>
      <c r="AW143" s="23"/>
      <c r="AX143" s="31"/>
      <c r="AY143" s="23"/>
      <c r="AZ143" s="23"/>
      <c r="BA143" s="23"/>
      <c r="BB143" s="31"/>
      <c r="BC143" s="31"/>
      <c r="BD143" s="31"/>
      <c r="BE143" s="31"/>
      <c r="BF143" s="31"/>
      <c r="BG143" s="31"/>
      <c r="BH143" s="31"/>
      <c r="BI143" s="23"/>
      <c r="BJ143" s="31"/>
      <c r="BK143" s="31"/>
    </row>
    <row r="144" spans="1:63" ht="13.9">
      <c r="A144" s="31"/>
      <c r="B144" s="34"/>
      <c r="C144" s="31"/>
      <c r="D144" s="31"/>
      <c r="E144" s="42"/>
      <c r="F144" s="31"/>
      <c r="G144" s="31"/>
      <c r="H144" s="31"/>
      <c r="I144" s="31"/>
      <c r="J144" s="31"/>
      <c r="K144" s="31"/>
      <c r="L144" s="23"/>
      <c r="M144" s="40"/>
      <c r="N144" s="40"/>
      <c r="O144" s="40"/>
      <c r="P144" s="40"/>
      <c r="Q144" s="23"/>
      <c r="R144" s="40"/>
      <c r="S144" s="23"/>
      <c r="T144" s="23"/>
      <c r="U144" s="23"/>
      <c r="V144" s="23"/>
      <c r="W144" s="31"/>
      <c r="X144" s="23"/>
      <c r="Y144" s="23"/>
      <c r="Z144" s="40"/>
      <c r="AA144" s="23"/>
      <c r="AB144" s="23"/>
      <c r="AC144" s="40"/>
      <c r="AD144" s="41"/>
      <c r="AE144" s="23"/>
      <c r="AF144" s="40"/>
      <c r="AG144" s="41"/>
      <c r="AH144" s="23"/>
      <c r="AI144" s="40"/>
      <c r="AJ144" s="23"/>
      <c r="AK144" s="23"/>
      <c r="AL144" s="23"/>
      <c r="AM144" s="23"/>
      <c r="AN144" s="23"/>
      <c r="AO144" s="23"/>
      <c r="AP144" s="23"/>
      <c r="AQ144" s="23"/>
      <c r="AR144" s="23"/>
      <c r="AS144" s="31"/>
      <c r="AT144" s="31"/>
      <c r="AU144" s="23"/>
      <c r="AV144" s="23"/>
      <c r="AW144" s="23"/>
      <c r="AX144" s="31"/>
      <c r="AY144" s="23"/>
      <c r="AZ144" s="23"/>
      <c r="BA144" s="23"/>
      <c r="BB144" s="31"/>
      <c r="BC144" s="31"/>
      <c r="BD144" s="31"/>
      <c r="BE144" s="31"/>
      <c r="BF144" s="31"/>
      <c r="BG144" s="31"/>
      <c r="BH144" s="31"/>
      <c r="BI144" s="23"/>
      <c r="BJ144" s="31"/>
      <c r="BK144" s="31"/>
    </row>
    <row r="145" spans="1:63" ht="13.9">
      <c r="A145" s="31"/>
      <c r="B145" s="34"/>
      <c r="C145" s="31"/>
      <c r="D145" s="31"/>
      <c r="E145" s="42"/>
      <c r="F145" s="31"/>
      <c r="G145" s="31"/>
      <c r="H145" s="31"/>
      <c r="I145" s="31"/>
      <c r="J145" s="31"/>
      <c r="K145" s="31"/>
      <c r="L145" s="23"/>
      <c r="M145" s="40"/>
      <c r="N145" s="40"/>
      <c r="O145" s="40"/>
      <c r="P145" s="40"/>
      <c r="Q145" s="23"/>
      <c r="R145" s="40"/>
      <c r="S145" s="23"/>
      <c r="T145" s="23"/>
      <c r="U145" s="23"/>
      <c r="V145" s="23"/>
      <c r="W145" s="31"/>
      <c r="X145" s="23"/>
      <c r="Y145" s="23"/>
      <c r="Z145" s="40"/>
      <c r="AA145" s="23"/>
      <c r="AB145" s="23"/>
      <c r="AC145" s="40"/>
      <c r="AD145" s="41"/>
      <c r="AE145" s="23"/>
      <c r="AF145" s="40"/>
      <c r="AG145" s="41"/>
      <c r="AH145" s="23"/>
      <c r="AI145" s="40"/>
      <c r="AJ145" s="23"/>
      <c r="AK145" s="23"/>
      <c r="AL145" s="23"/>
      <c r="AM145" s="23"/>
      <c r="AN145" s="23"/>
      <c r="AO145" s="23"/>
      <c r="AP145" s="23"/>
      <c r="AQ145" s="23"/>
      <c r="AR145" s="23"/>
      <c r="AS145" s="31"/>
      <c r="AT145" s="31"/>
      <c r="AU145" s="23"/>
      <c r="AV145" s="23"/>
      <c r="AW145" s="23"/>
      <c r="AX145" s="31"/>
      <c r="AY145" s="23"/>
      <c r="AZ145" s="23"/>
      <c r="BA145" s="23"/>
      <c r="BB145" s="31"/>
      <c r="BC145" s="31"/>
      <c r="BD145" s="31"/>
      <c r="BE145" s="31"/>
      <c r="BF145" s="31"/>
      <c r="BG145" s="31"/>
      <c r="BH145" s="31"/>
      <c r="BI145" s="23"/>
      <c r="BJ145" s="31"/>
      <c r="BK145" s="31"/>
    </row>
    <row r="146" spans="1:63" ht="13.9">
      <c r="A146" s="31"/>
      <c r="B146" s="34"/>
      <c r="C146" s="31"/>
      <c r="D146" s="31"/>
      <c r="E146" s="42"/>
      <c r="F146" s="31"/>
      <c r="G146" s="31"/>
      <c r="H146" s="31"/>
      <c r="I146" s="31"/>
      <c r="J146" s="31"/>
      <c r="K146" s="31"/>
      <c r="L146" s="23"/>
      <c r="M146" s="40"/>
      <c r="N146" s="40"/>
      <c r="O146" s="40"/>
      <c r="P146" s="40"/>
      <c r="Q146" s="23"/>
      <c r="R146" s="40"/>
      <c r="S146" s="23"/>
      <c r="T146" s="23"/>
      <c r="U146" s="23"/>
      <c r="V146" s="23"/>
      <c r="W146" s="31"/>
      <c r="X146" s="23"/>
      <c r="Y146" s="23"/>
      <c r="Z146" s="40"/>
      <c r="AA146" s="23"/>
      <c r="AB146" s="23"/>
      <c r="AC146" s="40"/>
      <c r="AD146" s="41"/>
      <c r="AE146" s="23"/>
      <c r="AF146" s="40"/>
      <c r="AG146" s="41"/>
      <c r="AH146" s="23"/>
      <c r="AI146" s="40"/>
      <c r="AJ146" s="23"/>
      <c r="AK146" s="23"/>
      <c r="AL146" s="23"/>
      <c r="AM146" s="23"/>
      <c r="AN146" s="23"/>
      <c r="AO146" s="23"/>
      <c r="AP146" s="23"/>
      <c r="AQ146" s="23"/>
      <c r="AR146" s="23"/>
      <c r="AS146" s="31"/>
      <c r="AT146" s="31"/>
      <c r="AU146" s="23"/>
      <c r="AV146" s="23"/>
      <c r="AW146" s="23"/>
      <c r="AX146" s="31"/>
      <c r="AY146" s="23"/>
      <c r="AZ146" s="23"/>
      <c r="BA146" s="23"/>
      <c r="BB146" s="31"/>
      <c r="BC146" s="31"/>
      <c r="BD146" s="31"/>
      <c r="BE146" s="31"/>
      <c r="BF146" s="31"/>
      <c r="BG146" s="31"/>
      <c r="BH146" s="31"/>
      <c r="BI146" s="23"/>
      <c r="BJ146" s="31"/>
      <c r="BK146" s="31"/>
    </row>
    <row r="147" spans="1:63" ht="13.9">
      <c r="A147" s="31"/>
      <c r="B147" s="34"/>
      <c r="C147" s="31"/>
      <c r="D147" s="31"/>
      <c r="E147" s="42"/>
      <c r="F147" s="31"/>
      <c r="G147" s="31"/>
      <c r="H147" s="31"/>
      <c r="I147" s="31"/>
      <c r="J147" s="31"/>
      <c r="K147" s="31"/>
      <c r="L147" s="23"/>
      <c r="M147" s="40"/>
      <c r="N147" s="40"/>
      <c r="O147" s="40"/>
      <c r="P147" s="40"/>
      <c r="Q147" s="23"/>
      <c r="R147" s="40"/>
      <c r="S147" s="23"/>
      <c r="T147" s="23"/>
      <c r="U147" s="23"/>
      <c r="V147" s="23"/>
      <c r="W147" s="31"/>
      <c r="X147" s="23"/>
      <c r="Y147" s="23"/>
      <c r="Z147" s="40"/>
      <c r="AA147" s="23"/>
      <c r="AB147" s="23"/>
      <c r="AC147" s="40"/>
      <c r="AD147" s="41"/>
      <c r="AE147" s="23"/>
      <c r="AF147" s="40"/>
      <c r="AG147" s="41"/>
      <c r="AH147" s="23"/>
      <c r="AI147" s="40"/>
      <c r="AJ147" s="23"/>
      <c r="AK147" s="23"/>
      <c r="AL147" s="23"/>
      <c r="AM147" s="23"/>
      <c r="AN147" s="23"/>
      <c r="AO147" s="23"/>
      <c r="AP147" s="23"/>
      <c r="AQ147" s="23"/>
      <c r="AR147" s="23"/>
      <c r="AS147" s="31"/>
      <c r="AT147" s="31"/>
      <c r="AU147" s="23"/>
      <c r="AV147" s="23"/>
      <c r="AW147" s="23"/>
      <c r="AX147" s="31"/>
      <c r="AY147" s="23"/>
      <c r="AZ147" s="23"/>
      <c r="BA147" s="23"/>
      <c r="BB147" s="31"/>
      <c r="BC147" s="31"/>
      <c r="BD147" s="31"/>
      <c r="BE147" s="31"/>
      <c r="BF147" s="31"/>
      <c r="BG147" s="31"/>
      <c r="BH147" s="31"/>
      <c r="BI147" s="23"/>
      <c r="BJ147" s="31"/>
      <c r="BK147" s="31"/>
    </row>
    <row r="148" spans="1:63" ht="13.9">
      <c r="A148" s="31"/>
      <c r="B148" s="34"/>
      <c r="C148" s="31"/>
      <c r="D148" s="31"/>
      <c r="E148" s="42"/>
      <c r="F148" s="31"/>
      <c r="G148" s="31"/>
      <c r="H148" s="31"/>
      <c r="I148" s="31"/>
      <c r="J148" s="31"/>
      <c r="K148" s="31"/>
      <c r="L148" s="23"/>
      <c r="M148" s="40"/>
      <c r="N148" s="40"/>
      <c r="O148" s="40"/>
      <c r="P148" s="40"/>
      <c r="Q148" s="23"/>
      <c r="R148" s="40"/>
      <c r="S148" s="23"/>
      <c r="T148" s="23"/>
      <c r="U148" s="23"/>
      <c r="V148" s="23"/>
      <c r="W148" s="31"/>
      <c r="X148" s="23"/>
      <c r="Y148" s="23"/>
      <c r="Z148" s="40"/>
      <c r="AA148" s="23"/>
      <c r="AB148" s="23"/>
      <c r="AC148" s="40"/>
      <c r="AD148" s="41"/>
      <c r="AE148" s="23"/>
      <c r="AF148" s="40"/>
      <c r="AG148" s="41"/>
      <c r="AH148" s="23"/>
      <c r="AI148" s="40"/>
      <c r="AJ148" s="23"/>
      <c r="AK148" s="23"/>
      <c r="AL148" s="23"/>
      <c r="AM148" s="23"/>
      <c r="AN148" s="23"/>
      <c r="AO148" s="23"/>
      <c r="AP148" s="23"/>
      <c r="AQ148" s="23"/>
      <c r="AR148" s="23"/>
      <c r="AS148" s="31"/>
      <c r="AT148" s="31"/>
      <c r="AU148" s="23"/>
      <c r="AV148" s="23"/>
      <c r="AW148" s="23"/>
      <c r="AX148" s="31"/>
      <c r="AY148" s="23"/>
      <c r="AZ148" s="23"/>
      <c r="BA148" s="23"/>
      <c r="BB148" s="31"/>
      <c r="BC148" s="31"/>
      <c r="BD148" s="31"/>
      <c r="BE148" s="31"/>
      <c r="BF148" s="31"/>
      <c r="BG148" s="31"/>
      <c r="BH148" s="31"/>
      <c r="BI148" s="23"/>
      <c r="BJ148" s="31"/>
      <c r="BK148" s="31"/>
    </row>
    <row r="149" spans="1:63" ht="13.9">
      <c r="A149" s="31"/>
      <c r="B149" s="34"/>
      <c r="C149" s="31"/>
      <c r="D149" s="31"/>
      <c r="E149" s="42"/>
      <c r="F149" s="31"/>
      <c r="G149" s="31"/>
      <c r="H149" s="31"/>
      <c r="I149" s="31"/>
      <c r="J149" s="31"/>
      <c r="K149" s="31"/>
      <c r="L149" s="23"/>
      <c r="M149" s="40"/>
      <c r="N149" s="40"/>
      <c r="O149" s="40"/>
      <c r="P149" s="40"/>
      <c r="Q149" s="23"/>
      <c r="R149" s="40"/>
      <c r="S149" s="23"/>
      <c r="T149" s="23"/>
      <c r="U149" s="23"/>
      <c r="V149" s="23"/>
      <c r="W149" s="31"/>
      <c r="X149" s="23"/>
      <c r="Y149" s="23"/>
      <c r="Z149" s="40"/>
      <c r="AA149" s="23"/>
      <c r="AB149" s="23"/>
      <c r="AC149" s="40"/>
      <c r="AD149" s="41"/>
      <c r="AE149" s="23"/>
      <c r="AF149" s="40"/>
      <c r="AG149" s="41"/>
      <c r="AH149" s="23"/>
      <c r="AI149" s="40"/>
      <c r="AJ149" s="23"/>
      <c r="AK149" s="23"/>
      <c r="AL149" s="23"/>
      <c r="AM149" s="23"/>
      <c r="AN149" s="23"/>
      <c r="AO149" s="23"/>
      <c r="AP149" s="23"/>
      <c r="AQ149" s="23"/>
      <c r="AR149" s="23"/>
      <c r="AS149" s="31"/>
      <c r="AT149" s="31"/>
      <c r="AU149" s="23"/>
      <c r="AV149" s="23"/>
      <c r="AW149" s="23"/>
      <c r="AX149" s="31"/>
      <c r="AY149" s="23"/>
      <c r="AZ149" s="23"/>
      <c r="BA149" s="23"/>
      <c r="BB149" s="31"/>
      <c r="BC149" s="31"/>
      <c r="BD149" s="31"/>
      <c r="BE149" s="31"/>
      <c r="BF149" s="31"/>
      <c r="BG149" s="31"/>
      <c r="BH149" s="31"/>
      <c r="BI149" s="23"/>
      <c r="BJ149" s="31"/>
      <c r="BK149" s="31"/>
    </row>
    <row r="150" spans="1:63" ht="13.9">
      <c r="A150" s="31"/>
      <c r="B150" s="34"/>
      <c r="C150" s="31"/>
      <c r="D150" s="31"/>
      <c r="E150" s="42"/>
      <c r="F150" s="31"/>
      <c r="G150" s="31"/>
      <c r="H150" s="31"/>
      <c r="I150" s="31"/>
      <c r="J150" s="31"/>
      <c r="K150" s="31"/>
      <c r="L150" s="23"/>
      <c r="M150" s="40"/>
      <c r="N150" s="40"/>
      <c r="O150" s="40"/>
      <c r="P150" s="40"/>
      <c r="Q150" s="23"/>
      <c r="R150" s="40"/>
      <c r="S150" s="23"/>
      <c r="T150" s="23"/>
      <c r="U150" s="23"/>
      <c r="V150" s="23"/>
      <c r="W150" s="31"/>
      <c r="X150" s="23"/>
      <c r="Y150" s="23"/>
      <c r="Z150" s="40"/>
      <c r="AA150" s="23"/>
      <c r="AB150" s="23"/>
      <c r="AC150" s="40"/>
      <c r="AD150" s="41"/>
      <c r="AE150" s="23"/>
      <c r="AF150" s="40"/>
      <c r="AG150" s="41"/>
      <c r="AH150" s="23"/>
      <c r="AI150" s="40"/>
      <c r="AJ150" s="23"/>
      <c r="AK150" s="23"/>
      <c r="AL150" s="23"/>
      <c r="AM150" s="23"/>
      <c r="AN150" s="23"/>
      <c r="AO150" s="23"/>
      <c r="AP150" s="23"/>
      <c r="AQ150" s="23"/>
      <c r="AR150" s="23"/>
      <c r="AS150" s="31"/>
      <c r="AT150" s="31"/>
      <c r="AU150" s="23"/>
      <c r="AV150" s="23"/>
      <c r="AW150" s="23"/>
      <c r="AX150" s="31"/>
      <c r="AY150" s="23"/>
      <c r="AZ150" s="23"/>
      <c r="BA150" s="23"/>
      <c r="BB150" s="31"/>
      <c r="BC150" s="31"/>
      <c r="BD150" s="31"/>
      <c r="BE150" s="31"/>
      <c r="BF150" s="31"/>
      <c r="BG150" s="31"/>
      <c r="BH150" s="31"/>
      <c r="BI150" s="23"/>
      <c r="BJ150" s="31"/>
      <c r="BK150" s="31"/>
    </row>
    <row r="151" spans="1:63" ht="13.9">
      <c r="A151" s="31"/>
      <c r="B151" s="34"/>
      <c r="C151" s="31"/>
      <c r="D151" s="31"/>
      <c r="E151" s="42"/>
      <c r="F151" s="31"/>
      <c r="G151" s="31"/>
      <c r="H151" s="31"/>
      <c r="I151" s="31"/>
      <c r="J151" s="31"/>
      <c r="K151" s="31"/>
      <c r="L151" s="23"/>
      <c r="M151" s="40"/>
      <c r="N151" s="40"/>
      <c r="O151" s="40"/>
      <c r="P151" s="40"/>
      <c r="Q151" s="23"/>
      <c r="R151" s="40"/>
      <c r="S151" s="23"/>
      <c r="T151" s="23"/>
      <c r="U151" s="23"/>
      <c r="V151" s="23"/>
      <c r="W151" s="31"/>
      <c r="X151" s="23"/>
      <c r="Y151" s="23"/>
      <c r="Z151" s="40"/>
      <c r="AA151" s="23"/>
      <c r="AB151" s="23"/>
      <c r="AC151" s="40"/>
      <c r="AD151" s="41"/>
      <c r="AE151" s="23"/>
      <c r="AF151" s="40"/>
      <c r="AG151" s="41"/>
      <c r="AH151" s="23"/>
      <c r="AI151" s="40"/>
      <c r="AJ151" s="23"/>
      <c r="AK151" s="23"/>
      <c r="AL151" s="23"/>
      <c r="AM151" s="23"/>
      <c r="AN151" s="23"/>
      <c r="AO151" s="23"/>
      <c r="AP151" s="23"/>
      <c r="AQ151" s="23"/>
      <c r="AR151" s="23"/>
      <c r="AS151" s="31"/>
      <c r="AT151" s="31"/>
      <c r="AU151" s="23"/>
      <c r="AV151" s="23"/>
      <c r="AW151" s="23"/>
      <c r="AX151" s="31"/>
      <c r="AY151" s="23"/>
      <c r="AZ151" s="23"/>
      <c r="BA151" s="23"/>
      <c r="BB151" s="31"/>
      <c r="BC151" s="31"/>
      <c r="BD151" s="31"/>
      <c r="BE151" s="31"/>
      <c r="BF151" s="31"/>
      <c r="BG151" s="31"/>
      <c r="BH151" s="31"/>
      <c r="BI151" s="23"/>
      <c r="BJ151" s="31"/>
      <c r="BK151" s="31"/>
    </row>
    <row r="152" spans="1:63" ht="13.9">
      <c r="A152" s="31"/>
      <c r="B152" s="34"/>
      <c r="C152" s="31"/>
      <c r="D152" s="31"/>
      <c r="E152" s="42"/>
      <c r="F152" s="31"/>
      <c r="G152" s="31"/>
      <c r="H152" s="31"/>
      <c r="I152" s="31"/>
      <c r="J152" s="31"/>
      <c r="K152" s="31"/>
      <c r="L152" s="23"/>
      <c r="M152" s="40"/>
      <c r="N152" s="40"/>
      <c r="O152" s="40"/>
      <c r="P152" s="40"/>
      <c r="Q152" s="23"/>
      <c r="R152" s="40"/>
      <c r="S152" s="23"/>
      <c r="T152" s="23"/>
      <c r="U152" s="23"/>
      <c r="V152" s="23"/>
      <c r="W152" s="31"/>
      <c r="X152" s="23"/>
      <c r="Y152" s="23"/>
      <c r="Z152" s="40"/>
      <c r="AA152" s="23"/>
      <c r="AB152" s="23"/>
      <c r="AC152" s="40"/>
      <c r="AD152" s="41"/>
      <c r="AE152" s="23"/>
      <c r="AF152" s="40"/>
      <c r="AG152" s="41"/>
      <c r="AH152" s="23"/>
      <c r="AI152" s="40"/>
      <c r="AJ152" s="23"/>
      <c r="AK152" s="23"/>
      <c r="AL152" s="23"/>
      <c r="AM152" s="23"/>
      <c r="AN152" s="23"/>
      <c r="AO152" s="23"/>
      <c r="AP152" s="23"/>
      <c r="AQ152" s="23"/>
      <c r="AR152" s="23"/>
      <c r="AS152" s="31"/>
      <c r="AT152" s="31"/>
      <c r="AU152" s="23"/>
      <c r="AV152" s="23"/>
      <c r="AW152" s="23"/>
      <c r="AX152" s="31"/>
      <c r="AY152" s="23"/>
      <c r="AZ152" s="23"/>
      <c r="BA152" s="23"/>
      <c r="BB152" s="31"/>
      <c r="BC152" s="31"/>
      <c r="BD152" s="31"/>
      <c r="BE152" s="31"/>
      <c r="BF152" s="31"/>
      <c r="BG152" s="31"/>
      <c r="BH152" s="31"/>
      <c r="BI152" s="23"/>
      <c r="BJ152" s="31"/>
      <c r="BK152" s="31"/>
    </row>
    <row r="153" spans="1:63" ht="13.9">
      <c r="A153" s="31"/>
      <c r="B153" s="34"/>
      <c r="C153" s="31"/>
      <c r="D153" s="31"/>
      <c r="E153" s="42"/>
      <c r="F153" s="31"/>
      <c r="G153" s="31"/>
      <c r="H153" s="31"/>
      <c r="I153" s="31"/>
      <c r="J153" s="31"/>
      <c r="K153" s="31"/>
      <c r="L153" s="23"/>
      <c r="M153" s="40"/>
      <c r="N153" s="40"/>
      <c r="O153" s="40"/>
      <c r="P153" s="40"/>
      <c r="Q153" s="23"/>
      <c r="R153" s="40"/>
      <c r="S153" s="23"/>
      <c r="T153" s="23"/>
      <c r="U153" s="23"/>
      <c r="V153" s="23"/>
      <c r="W153" s="31"/>
      <c r="X153" s="23"/>
      <c r="Y153" s="23"/>
      <c r="Z153" s="40"/>
      <c r="AA153" s="23"/>
      <c r="AB153" s="23"/>
      <c r="AC153" s="40"/>
      <c r="AD153" s="41"/>
      <c r="AE153" s="23"/>
      <c r="AF153" s="40"/>
      <c r="AG153" s="41"/>
      <c r="AH153" s="23"/>
      <c r="AI153" s="40"/>
      <c r="AJ153" s="23"/>
      <c r="AK153" s="23"/>
      <c r="AL153" s="23"/>
      <c r="AM153" s="23"/>
      <c r="AN153" s="23"/>
      <c r="AO153" s="23"/>
      <c r="AP153" s="23"/>
      <c r="AQ153" s="23"/>
      <c r="AR153" s="23"/>
      <c r="AS153" s="31"/>
      <c r="AT153" s="31"/>
      <c r="AU153" s="23"/>
      <c r="AV153" s="23"/>
      <c r="AW153" s="23"/>
      <c r="AX153" s="31"/>
      <c r="AY153" s="23"/>
      <c r="AZ153" s="23"/>
      <c r="BA153" s="23"/>
      <c r="BB153" s="31"/>
      <c r="BC153" s="31"/>
      <c r="BD153" s="31"/>
      <c r="BE153" s="31"/>
      <c r="BF153" s="31"/>
      <c r="BG153" s="31"/>
      <c r="BH153" s="31"/>
      <c r="BI153" s="23"/>
      <c r="BJ153" s="31"/>
      <c r="BK153" s="31"/>
    </row>
    <row r="154" spans="1:63" ht="13.9">
      <c r="A154" s="31"/>
      <c r="B154" s="34"/>
      <c r="C154" s="31"/>
      <c r="D154" s="31"/>
      <c r="E154" s="42"/>
      <c r="F154" s="31"/>
      <c r="G154" s="31"/>
      <c r="H154" s="31"/>
      <c r="I154" s="31"/>
      <c r="J154" s="31"/>
      <c r="K154" s="31"/>
      <c r="L154" s="23"/>
      <c r="M154" s="40"/>
      <c r="N154" s="40"/>
      <c r="O154" s="40"/>
      <c r="P154" s="40"/>
      <c r="Q154" s="23"/>
      <c r="R154" s="40"/>
      <c r="S154" s="23"/>
      <c r="T154" s="23"/>
      <c r="U154" s="23"/>
      <c r="V154" s="23"/>
      <c r="W154" s="31"/>
      <c r="X154" s="23"/>
      <c r="Y154" s="23"/>
      <c r="Z154" s="40"/>
      <c r="AA154" s="23"/>
      <c r="AB154" s="23"/>
      <c r="AC154" s="40"/>
      <c r="AD154" s="41"/>
      <c r="AE154" s="23"/>
      <c r="AF154" s="40"/>
      <c r="AG154" s="41"/>
      <c r="AH154" s="23"/>
      <c r="AI154" s="40"/>
      <c r="AJ154" s="23"/>
      <c r="AK154" s="23"/>
      <c r="AL154" s="23"/>
      <c r="AM154" s="23"/>
      <c r="AN154" s="23"/>
      <c r="AO154" s="23"/>
      <c r="AP154" s="23"/>
      <c r="AQ154" s="23"/>
      <c r="AR154" s="23"/>
      <c r="AS154" s="31"/>
      <c r="AT154" s="31"/>
      <c r="AU154" s="23"/>
      <c r="AV154" s="23"/>
      <c r="AW154" s="23"/>
      <c r="AX154" s="31"/>
      <c r="AY154" s="23"/>
      <c r="AZ154" s="23"/>
      <c r="BA154" s="23"/>
      <c r="BB154" s="31"/>
      <c r="BC154" s="31"/>
      <c r="BD154" s="31"/>
      <c r="BE154" s="31"/>
      <c r="BF154" s="31"/>
      <c r="BG154" s="31"/>
      <c r="BH154" s="31"/>
      <c r="BI154" s="23"/>
      <c r="BJ154" s="31"/>
      <c r="BK154" s="31"/>
    </row>
    <row r="155" spans="1:63" ht="13.9">
      <c r="A155" s="31"/>
      <c r="B155" s="34"/>
      <c r="C155" s="31"/>
      <c r="D155" s="31"/>
      <c r="E155" s="42"/>
      <c r="F155" s="31"/>
      <c r="G155" s="31"/>
      <c r="H155" s="31"/>
      <c r="I155" s="31"/>
      <c r="J155" s="31"/>
      <c r="K155" s="31"/>
      <c r="L155" s="23"/>
      <c r="M155" s="40"/>
      <c r="N155" s="40"/>
      <c r="O155" s="40"/>
      <c r="P155" s="40"/>
      <c r="Q155" s="23"/>
      <c r="R155" s="40"/>
      <c r="S155" s="23"/>
      <c r="T155" s="23"/>
      <c r="U155" s="23"/>
      <c r="V155" s="23"/>
      <c r="W155" s="31"/>
      <c r="X155" s="23"/>
      <c r="Y155" s="23"/>
      <c r="Z155" s="40"/>
      <c r="AA155" s="23"/>
      <c r="AB155" s="23"/>
      <c r="AC155" s="40"/>
      <c r="AD155" s="41"/>
      <c r="AE155" s="23"/>
      <c r="AF155" s="40"/>
      <c r="AG155" s="41"/>
      <c r="AH155" s="23"/>
      <c r="AI155" s="40"/>
      <c r="AJ155" s="23"/>
      <c r="AK155" s="23"/>
      <c r="AL155" s="23"/>
      <c r="AM155" s="23"/>
      <c r="AN155" s="23"/>
      <c r="AO155" s="23"/>
      <c r="AP155" s="23"/>
      <c r="AQ155" s="23"/>
      <c r="AR155" s="23"/>
      <c r="AS155" s="31"/>
      <c r="AT155" s="31"/>
      <c r="AU155" s="23"/>
      <c r="AV155" s="23"/>
      <c r="AW155" s="23"/>
      <c r="AX155" s="31"/>
      <c r="AY155" s="23"/>
      <c r="AZ155" s="23"/>
      <c r="BA155" s="23"/>
      <c r="BB155" s="31"/>
      <c r="BC155" s="31"/>
      <c r="BD155" s="31"/>
      <c r="BE155" s="31"/>
      <c r="BF155" s="31"/>
      <c r="BG155" s="31"/>
      <c r="BH155" s="31"/>
      <c r="BI155" s="23"/>
      <c r="BJ155" s="31"/>
      <c r="BK155" s="31"/>
    </row>
    <row r="156" spans="1:63" ht="13.9">
      <c r="A156" s="31"/>
      <c r="B156" s="34"/>
      <c r="C156" s="31"/>
      <c r="D156" s="31"/>
      <c r="E156" s="42"/>
      <c r="F156" s="31"/>
      <c r="G156" s="31"/>
      <c r="H156" s="31"/>
      <c r="I156" s="31"/>
      <c r="J156" s="31"/>
      <c r="K156" s="31"/>
      <c r="L156" s="23"/>
      <c r="M156" s="40"/>
      <c r="N156" s="40"/>
      <c r="O156" s="40"/>
      <c r="P156" s="40"/>
      <c r="Q156" s="23"/>
      <c r="R156" s="40"/>
      <c r="S156" s="23"/>
      <c r="T156" s="23"/>
      <c r="U156" s="23"/>
      <c r="V156" s="23"/>
      <c r="W156" s="31"/>
      <c r="X156" s="23"/>
      <c r="Y156" s="23"/>
      <c r="Z156" s="40"/>
      <c r="AA156" s="23"/>
      <c r="AB156" s="23"/>
      <c r="AC156" s="40"/>
      <c r="AD156" s="41"/>
      <c r="AE156" s="23"/>
      <c r="AF156" s="40"/>
      <c r="AG156" s="41"/>
      <c r="AH156" s="23"/>
      <c r="AI156" s="40"/>
      <c r="AJ156" s="23"/>
      <c r="AK156" s="23"/>
      <c r="AL156" s="23"/>
      <c r="AM156" s="23"/>
      <c r="AN156" s="23"/>
      <c r="AO156" s="23"/>
      <c r="AP156" s="23"/>
      <c r="AQ156" s="23"/>
      <c r="AR156" s="23"/>
      <c r="AS156" s="31"/>
      <c r="AT156" s="31"/>
      <c r="AU156" s="23"/>
      <c r="AV156" s="23"/>
      <c r="AW156" s="23"/>
      <c r="AX156" s="31"/>
      <c r="AY156" s="23"/>
      <c r="AZ156" s="23"/>
      <c r="BA156" s="23"/>
      <c r="BB156" s="31"/>
      <c r="BC156" s="31"/>
      <c r="BD156" s="31"/>
      <c r="BE156" s="31"/>
      <c r="BF156" s="31"/>
      <c r="BG156" s="31"/>
      <c r="BH156" s="31"/>
      <c r="BI156" s="23"/>
      <c r="BJ156" s="31"/>
      <c r="BK156" s="31"/>
    </row>
    <row r="157" spans="1:63" ht="13.9">
      <c r="A157" s="31"/>
      <c r="B157" s="34"/>
      <c r="C157" s="31"/>
      <c r="D157" s="31"/>
      <c r="E157" s="42"/>
      <c r="F157" s="31"/>
      <c r="G157" s="31"/>
      <c r="H157" s="31"/>
      <c r="I157" s="31"/>
      <c r="J157" s="31"/>
      <c r="K157" s="31"/>
      <c r="L157" s="23"/>
      <c r="M157" s="40"/>
      <c r="N157" s="40"/>
      <c r="O157" s="40"/>
      <c r="P157" s="40"/>
      <c r="Q157" s="23"/>
      <c r="R157" s="40"/>
      <c r="S157" s="23"/>
      <c r="T157" s="23"/>
      <c r="U157" s="23"/>
      <c r="V157" s="23"/>
      <c r="W157" s="31"/>
      <c r="X157" s="23"/>
      <c r="Y157" s="23"/>
      <c r="Z157" s="40"/>
      <c r="AA157" s="23"/>
      <c r="AB157" s="23"/>
      <c r="AC157" s="40"/>
      <c r="AD157" s="41"/>
      <c r="AE157" s="23"/>
      <c r="AF157" s="40"/>
      <c r="AG157" s="41"/>
      <c r="AH157" s="23"/>
      <c r="AI157" s="40"/>
      <c r="AJ157" s="23"/>
      <c r="AK157" s="23"/>
      <c r="AL157" s="23"/>
      <c r="AM157" s="23"/>
      <c r="AN157" s="23"/>
      <c r="AO157" s="23"/>
      <c r="AP157" s="23"/>
      <c r="AQ157" s="23"/>
      <c r="AR157" s="23"/>
      <c r="AS157" s="31"/>
      <c r="AT157" s="31"/>
      <c r="AU157" s="23"/>
      <c r="AV157" s="23"/>
      <c r="AW157" s="23"/>
      <c r="AX157" s="31"/>
      <c r="AY157" s="23"/>
      <c r="AZ157" s="23"/>
      <c r="BA157" s="23"/>
      <c r="BB157" s="31"/>
      <c r="BC157" s="31"/>
      <c r="BD157" s="31"/>
      <c r="BE157" s="31"/>
      <c r="BF157" s="31"/>
      <c r="BG157" s="31"/>
      <c r="BH157" s="31"/>
      <c r="BI157" s="23"/>
      <c r="BJ157" s="31"/>
      <c r="BK157" s="31"/>
    </row>
    <row r="158" spans="1:63" ht="13.9">
      <c r="A158" s="31"/>
      <c r="B158" s="34"/>
      <c r="C158" s="31"/>
      <c r="D158" s="31"/>
      <c r="E158" s="42"/>
      <c r="F158" s="31"/>
      <c r="G158" s="31"/>
      <c r="H158" s="31"/>
      <c r="I158" s="31"/>
      <c r="J158" s="31"/>
      <c r="K158" s="31"/>
      <c r="L158" s="23"/>
      <c r="M158" s="40"/>
      <c r="N158" s="40"/>
      <c r="O158" s="40"/>
      <c r="P158" s="40"/>
      <c r="Q158" s="23"/>
      <c r="R158" s="40"/>
      <c r="S158" s="23"/>
      <c r="T158" s="23"/>
      <c r="U158" s="23"/>
      <c r="V158" s="23"/>
      <c r="W158" s="31"/>
      <c r="X158" s="23"/>
      <c r="Y158" s="23"/>
      <c r="Z158" s="40"/>
      <c r="AA158" s="23"/>
      <c r="AB158" s="23"/>
      <c r="AC158" s="40"/>
      <c r="AD158" s="41"/>
      <c r="AE158" s="23"/>
      <c r="AF158" s="40"/>
      <c r="AG158" s="41"/>
      <c r="AH158" s="23"/>
      <c r="AI158" s="40"/>
      <c r="AJ158" s="23"/>
      <c r="AK158" s="23"/>
      <c r="AL158" s="23"/>
      <c r="AM158" s="23"/>
      <c r="AN158" s="23"/>
      <c r="AO158" s="23"/>
      <c r="AP158" s="23"/>
      <c r="AQ158" s="23"/>
      <c r="AR158" s="23"/>
      <c r="AS158" s="31"/>
      <c r="AT158" s="31"/>
      <c r="AU158" s="23"/>
      <c r="AV158" s="23"/>
      <c r="AW158" s="23"/>
      <c r="AX158" s="31"/>
      <c r="AY158" s="23"/>
      <c r="AZ158" s="23"/>
      <c r="BA158" s="23"/>
      <c r="BB158" s="31"/>
      <c r="BC158" s="31"/>
      <c r="BD158" s="31"/>
      <c r="BE158" s="31"/>
      <c r="BF158" s="31"/>
      <c r="BG158" s="31"/>
      <c r="BH158" s="31"/>
      <c r="BI158" s="23"/>
      <c r="BJ158" s="31"/>
      <c r="BK158" s="31"/>
    </row>
    <row r="159" spans="1:63" ht="13.9">
      <c r="A159" s="31"/>
      <c r="B159" s="34"/>
      <c r="C159" s="31"/>
      <c r="D159" s="31"/>
      <c r="E159" s="42"/>
      <c r="F159" s="31"/>
      <c r="G159" s="31"/>
      <c r="H159" s="31"/>
      <c r="I159" s="31"/>
      <c r="J159" s="31"/>
      <c r="K159" s="31"/>
      <c r="L159" s="23"/>
      <c r="M159" s="40"/>
      <c r="N159" s="40"/>
      <c r="O159" s="40"/>
      <c r="P159" s="40"/>
      <c r="Q159" s="23"/>
      <c r="R159" s="40"/>
      <c r="S159" s="23"/>
      <c r="T159" s="23"/>
      <c r="U159" s="23"/>
      <c r="V159" s="23"/>
      <c r="W159" s="31"/>
      <c r="X159" s="23"/>
      <c r="Y159" s="23"/>
      <c r="Z159" s="40"/>
      <c r="AA159" s="23"/>
      <c r="AB159" s="23"/>
      <c r="AC159" s="40"/>
      <c r="AD159" s="41"/>
      <c r="AE159" s="23"/>
      <c r="AF159" s="40"/>
      <c r="AG159" s="41"/>
      <c r="AH159" s="23"/>
      <c r="AI159" s="40"/>
      <c r="AJ159" s="23"/>
      <c r="AK159" s="23"/>
      <c r="AL159" s="23"/>
      <c r="AM159" s="23"/>
      <c r="AN159" s="23"/>
      <c r="AO159" s="23"/>
      <c r="AP159" s="23"/>
      <c r="AQ159" s="23"/>
      <c r="AR159" s="23"/>
      <c r="AS159" s="31"/>
      <c r="AT159" s="31"/>
      <c r="AU159" s="23"/>
      <c r="AV159" s="23"/>
      <c r="AW159" s="23"/>
      <c r="AX159" s="31"/>
      <c r="AY159" s="23"/>
      <c r="AZ159" s="23"/>
      <c r="BA159" s="23"/>
      <c r="BB159" s="31"/>
      <c r="BC159" s="31"/>
      <c r="BD159" s="31"/>
      <c r="BE159" s="31"/>
      <c r="BF159" s="31"/>
      <c r="BG159" s="31"/>
      <c r="BH159" s="31"/>
      <c r="BI159" s="23"/>
      <c r="BJ159" s="31"/>
      <c r="BK159" s="31"/>
    </row>
    <row r="160" spans="1:63" ht="13.9">
      <c r="A160" s="31"/>
      <c r="B160" s="34"/>
      <c r="C160" s="31"/>
      <c r="D160" s="31"/>
      <c r="E160" s="42"/>
      <c r="F160" s="31"/>
      <c r="G160" s="31"/>
      <c r="H160" s="31"/>
      <c r="I160" s="31"/>
      <c r="J160" s="31"/>
      <c r="K160" s="31"/>
      <c r="L160" s="23"/>
      <c r="M160" s="40"/>
      <c r="N160" s="40"/>
      <c r="O160" s="40"/>
      <c r="P160" s="40"/>
      <c r="Q160" s="23"/>
      <c r="R160" s="40"/>
      <c r="S160" s="23"/>
      <c r="T160" s="23"/>
      <c r="U160" s="23"/>
      <c r="V160" s="23"/>
      <c r="W160" s="31"/>
      <c r="X160" s="23"/>
      <c r="Y160" s="23"/>
      <c r="Z160" s="40"/>
      <c r="AA160" s="23"/>
      <c r="AB160" s="23"/>
      <c r="AC160" s="40"/>
      <c r="AD160" s="41"/>
      <c r="AE160" s="23"/>
      <c r="AF160" s="40"/>
      <c r="AG160" s="41"/>
      <c r="AH160" s="23"/>
      <c r="AI160" s="40"/>
      <c r="AJ160" s="23"/>
      <c r="AK160" s="23"/>
      <c r="AL160" s="23"/>
      <c r="AM160" s="23"/>
      <c r="AN160" s="23"/>
      <c r="AO160" s="23"/>
      <c r="AP160" s="23"/>
      <c r="AQ160" s="23"/>
      <c r="AR160" s="23"/>
      <c r="AS160" s="31"/>
      <c r="AT160" s="31"/>
      <c r="AU160" s="23"/>
      <c r="AV160" s="23"/>
      <c r="AW160" s="23"/>
      <c r="AX160" s="31"/>
      <c r="AY160" s="23"/>
      <c r="AZ160" s="23"/>
      <c r="BA160" s="23"/>
      <c r="BB160" s="31"/>
      <c r="BC160" s="31"/>
      <c r="BD160" s="31"/>
      <c r="BE160" s="31"/>
      <c r="BF160" s="31"/>
      <c r="BG160" s="31"/>
      <c r="BH160" s="31"/>
      <c r="BI160" s="23"/>
      <c r="BJ160" s="31"/>
      <c r="BK160" s="31"/>
    </row>
    <row r="161" spans="1:63" ht="13.9">
      <c r="A161" s="31"/>
      <c r="B161" s="34"/>
      <c r="C161" s="31"/>
      <c r="D161" s="31"/>
      <c r="E161" s="42"/>
      <c r="F161" s="31"/>
      <c r="G161" s="31"/>
      <c r="H161" s="31"/>
      <c r="I161" s="31"/>
      <c r="J161" s="31"/>
      <c r="K161" s="31"/>
      <c r="L161" s="23"/>
      <c r="M161" s="40"/>
      <c r="N161" s="40"/>
      <c r="O161" s="40"/>
      <c r="P161" s="40"/>
      <c r="Q161" s="23"/>
      <c r="R161" s="40"/>
      <c r="S161" s="23"/>
      <c r="T161" s="23"/>
      <c r="U161" s="23"/>
      <c r="V161" s="23"/>
      <c r="W161" s="31"/>
      <c r="X161" s="23"/>
      <c r="Y161" s="23"/>
      <c r="Z161" s="40"/>
      <c r="AA161" s="23"/>
      <c r="AB161" s="23"/>
      <c r="AC161" s="40"/>
      <c r="AD161" s="41"/>
      <c r="AE161" s="23"/>
      <c r="AF161" s="40"/>
      <c r="AG161" s="41"/>
      <c r="AH161" s="23"/>
      <c r="AI161" s="40"/>
      <c r="AJ161" s="23"/>
      <c r="AK161" s="23"/>
      <c r="AL161" s="23"/>
      <c r="AM161" s="23"/>
      <c r="AN161" s="23"/>
      <c r="AO161" s="23"/>
      <c r="AP161" s="23"/>
      <c r="AQ161" s="23"/>
      <c r="AR161" s="23"/>
      <c r="AS161" s="31"/>
      <c r="AT161" s="31"/>
      <c r="AU161" s="23"/>
      <c r="AV161" s="23"/>
      <c r="AW161" s="23"/>
      <c r="AX161" s="31"/>
      <c r="AY161" s="23"/>
      <c r="AZ161" s="23"/>
      <c r="BA161" s="23"/>
      <c r="BB161" s="31"/>
      <c r="BC161" s="31"/>
      <c r="BD161" s="31"/>
      <c r="BE161" s="31"/>
      <c r="BF161" s="31"/>
      <c r="BG161" s="31"/>
      <c r="BH161" s="31"/>
      <c r="BI161" s="23"/>
      <c r="BJ161" s="31"/>
      <c r="BK161" s="31"/>
    </row>
    <row r="162" spans="1:63" ht="13.9">
      <c r="A162" s="31"/>
      <c r="B162" s="34"/>
      <c r="C162" s="31"/>
      <c r="D162" s="31"/>
      <c r="E162" s="42"/>
      <c r="F162" s="31"/>
      <c r="G162" s="31"/>
      <c r="H162" s="31"/>
      <c r="I162" s="31"/>
      <c r="J162" s="31"/>
      <c r="K162" s="31"/>
      <c r="L162" s="23"/>
      <c r="M162" s="40"/>
      <c r="N162" s="40"/>
      <c r="O162" s="40"/>
      <c r="P162" s="40"/>
      <c r="Q162" s="23"/>
      <c r="R162" s="40"/>
      <c r="S162" s="23"/>
      <c r="T162" s="23"/>
      <c r="U162" s="23"/>
      <c r="V162" s="23"/>
      <c r="W162" s="31"/>
      <c r="X162" s="23"/>
      <c r="Y162" s="23"/>
      <c r="Z162" s="40"/>
      <c r="AA162" s="23"/>
      <c r="AB162" s="23"/>
      <c r="AC162" s="40"/>
      <c r="AD162" s="41"/>
      <c r="AE162" s="23"/>
      <c r="AF162" s="40"/>
      <c r="AG162" s="41"/>
      <c r="AH162" s="23"/>
      <c r="AI162" s="40"/>
      <c r="AJ162" s="23"/>
      <c r="AK162" s="23"/>
      <c r="AL162" s="23"/>
      <c r="AM162" s="23"/>
      <c r="AN162" s="23"/>
      <c r="AO162" s="23"/>
      <c r="AP162" s="23"/>
      <c r="AQ162" s="23"/>
      <c r="AR162" s="23"/>
      <c r="AS162" s="31"/>
      <c r="AT162" s="31"/>
      <c r="AU162" s="23"/>
      <c r="AV162" s="23"/>
      <c r="AW162" s="23"/>
      <c r="AX162" s="31"/>
      <c r="AY162" s="23"/>
      <c r="AZ162" s="23"/>
      <c r="BA162" s="23"/>
      <c r="BB162" s="31"/>
      <c r="BC162" s="31"/>
      <c r="BD162" s="31"/>
      <c r="BE162" s="31"/>
      <c r="BF162" s="31"/>
      <c r="BG162" s="31"/>
      <c r="BH162" s="31"/>
      <c r="BI162" s="23"/>
      <c r="BJ162" s="31"/>
      <c r="BK162" s="31"/>
    </row>
    <row r="163" spans="1:63" ht="13.9">
      <c r="A163" s="31"/>
      <c r="B163" s="34"/>
      <c r="C163" s="31"/>
      <c r="D163" s="31"/>
      <c r="E163" s="42"/>
      <c r="F163" s="31"/>
      <c r="G163" s="31"/>
      <c r="H163" s="31"/>
      <c r="I163" s="31"/>
      <c r="J163" s="31"/>
      <c r="K163" s="31"/>
      <c r="L163" s="23"/>
      <c r="M163" s="40"/>
      <c r="N163" s="40"/>
      <c r="O163" s="40"/>
      <c r="P163" s="40"/>
      <c r="Q163" s="23"/>
      <c r="R163" s="40"/>
      <c r="S163" s="23"/>
      <c r="T163" s="23"/>
      <c r="U163" s="23"/>
      <c r="V163" s="23"/>
      <c r="W163" s="31"/>
      <c r="X163" s="23"/>
      <c r="Y163" s="23"/>
      <c r="Z163" s="40"/>
      <c r="AA163" s="23"/>
      <c r="AB163" s="23"/>
      <c r="AC163" s="40"/>
      <c r="AD163" s="41"/>
      <c r="AE163" s="23"/>
      <c r="AF163" s="40"/>
      <c r="AG163" s="41"/>
      <c r="AH163" s="23"/>
      <c r="AI163" s="40"/>
      <c r="AJ163" s="23"/>
      <c r="AK163" s="23"/>
      <c r="AL163" s="23"/>
      <c r="AM163" s="23"/>
      <c r="AN163" s="23"/>
      <c r="AO163" s="23"/>
      <c r="AP163" s="23"/>
      <c r="AQ163" s="23"/>
      <c r="AR163" s="23"/>
      <c r="AS163" s="31"/>
      <c r="AT163" s="31"/>
      <c r="AU163" s="23"/>
      <c r="AV163" s="23"/>
      <c r="AW163" s="23"/>
      <c r="AX163" s="31"/>
      <c r="AY163" s="23"/>
      <c r="AZ163" s="23"/>
      <c r="BA163" s="23"/>
      <c r="BB163" s="31"/>
      <c r="BC163" s="31"/>
      <c r="BD163" s="31"/>
      <c r="BE163" s="31"/>
      <c r="BF163" s="31"/>
      <c r="BG163" s="31"/>
      <c r="BH163" s="31"/>
      <c r="BI163" s="23"/>
      <c r="BJ163" s="31"/>
      <c r="BK163" s="31"/>
    </row>
    <row r="164" spans="1:63" ht="13.9">
      <c r="A164" s="31"/>
      <c r="B164" s="34"/>
      <c r="C164" s="31"/>
      <c r="D164" s="31"/>
      <c r="E164" s="42"/>
      <c r="F164" s="31"/>
      <c r="G164" s="31"/>
      <c r="H164" s="31"/>
      <c r="I164" s="31"/>
      <c r="J164" s="31"/>
      <c r="K164" s="31"/>
      <c r="L164" s="23"/>
      <c r="M164" s="40"/>
      <c r="N164" s="40"/>
      <c r="O164" s="40"/>
      <c r="P164" s="40"/>
      <c r="Q164" s="23"/>
      <c r="R164" s="40"/>
      <c r="S164" s="23"/>
      <c r="T164" s="23"/>
      <c r="U164" s="23"/>
      <c r="V164" s="23"/>
      <c r="W164" s="31"/>
      <c r="X164" s="23"/>
      <c r="Y164" s="23"/>
      <c r="Z164" s="40"/>
      <c r="AA164" s="23"/>
      <c r="AB164" s="23"/>
      <c r="AC164" s="40"/>
      <c r="AD164" s="41"/>
      <c r="AE164" s="23"/>
      <c r="AF164" s="40"/>
      <c r="AG164" s="41"/>
      <c r="AH164" s="23"/>
      <c r="AI164" s="40"/>
      <c r="AJ164" s="23"/>
      <c r="AK164" s="23"/>
      <c r="AL164" s="23"/>
      <c r="AM164" s="23"/>
      <c r="AN164" s="23"/>
      <c r="AO164" s="23"/>
      <c r="AP164" s="23"/>
      <c r="AQ164" s="23"/>
      <c r="AR164" s="23"/>
      <c r="AS164" s="31"/>
      <c r="AT164" s="31"/>
      <c r="AU164" s="23"/>
      <c r="AV164" s="23"/>
      <c r="AW164" s="23"/>
      <c r="AX164" s="31"/>
      <c r="AY164" s="23"/>
      <c r="AZ164" s="23"/>
      <c r="BA164" s="23"/>
      <c r="BB164" s="31"/>
      <c r="BC164" s="31"/>
      <c r="BD164" s="31"/>
      <c r="BE164" s="31"/>
      <c r="BF164" s="31"/>
      <c r="BG164" s="31"/>
      <c r="BH164" s="31"/>
      <c r="BI164" s="23"/>
      <c r="BJ164" s="31"/>
      <c r="BK164" s="31"/>
    </row>
    <row r="165" spans="1:63" ht="13.9">
      <c r="A165" s="31"/>
      <c r="B165" s="34"/>
      <c r="C165" s="31"/>
      <c r="D165" s="31"/>
      <c r="E165" s="42"/>
      <c r="F165" s="31"/>
      <c r="G165" s="31"/>
      <c r="H165" s="31"/>
      <c r="I165" s="31"/>
      <c r="J165" s="31"/>
      <c r="K165" s="31"/>
      <c r="L165" s="23"/>
      <c r="M165" s="40"/>
      <c r="N165" s="40"/>
      <c r="O165" s="40"/>
      <c r="P165" s="40"/>
      <c r="Q165" s="23"/>
      <c r="R165" s="40"/>
      <c r="S165" s="23"/>
      <c r="T165" s="23"/>
      <c r="U165" s="23"/>
      <c r="V165" s="23"/>
      <c r="W165" s="31"/>
      <c r="X165" s="23"/>
      <c r="Y165" s="23"/>
      <c r="Z165" s="40"/>
      <c r="AA165" s="23"/>
      <c r="AB165" s="23"/>
      <c r="AC165" s="40"/>
      <c r="AD165" s="41"/>
      <c r="AE165" s="23"/>
      <c r="AF165" s="40"/>
      <c r="AG165" s="41"/>
      <c r="AH165" s="23"/>
      <c r="AI165" s="40"/>
      <c r="AJ165" s="23"/>
      <c r="AK165" s="23"/>
      <c r="AL165" s="23"/>
      <c r="AM165" s="23"/>
      <c r="AN165" s="23"/>
      <c r="AO165" s="23"/>
      <c r="AP165" s="23"/>
      <c r="AQ165" s="23"/>
      <c r="AR165" s="23"/>
      <c r="AS165" s="31"/>
      <c r="AT165" s="31"/>
      <c r="AU165" s="23"/>
      <c r="AV165" s="23"/>
      <c r="AW165" s="23"/>
      <c r="AX165" s="31"/>
      <c r="AY165" s="23"/>
      <c r="AZ165" s="23"/>
      <c r="BA165" s="23"/>
      <c r="BB165" s="31"/>
      <c r="BC165" s="31"/>
      <c r="BD165" s="31"/>
      <c r="BE165" s="31"/>
      <c r="BF165" s="31"/>
      <c r="BG165" s="31"/>
      <c r="BH165" s="31"/>
      <c r="BI165" s="23"/>
      <c r="BJ165" s="31"/>
      <c r="BK165" s="31"/>
    </row>
    <row r="166" spans="1:63" ht="13.9">
      <c r="A166" s="31"/>
      <c r="B166" s="34"/>
      <c r="C166" s="31"/>
      <c r="D166" s="31"/>
      <c r="E166" s="42"/>
      <c r="F166" s="31"/>
      <c r="G166" s="31"/>
      <c r="H166" s="31"/>
      <c r="I166" s="31"/>
      <c r="J166" s="31"/>
      <c r="K166" s="31"/>
      <c r="L166" s="23"/>
      <c r="M166" s="40"/>
      <c r="N166" s="40"/>
      <c r="O166" s="40"/>
      <c r="P166" s="40"/>
      <c r="Q166" s="23"/>
      <c r="R166" s="40"/>
      <c r="S166" s="23"/>
      <c r="T166" s="23"/>
      <c r="U166" s="23"/>
      <c r="V166" s="23"/>
      <c r="W166" s="31"/>
      <c r="X166" s="23"/>
      <c r="Y166" s="23"/>
      <c r="Z166" s="40"/>
      <c r="AA166" s="23"/>
      <c r="AB166" s="23"/>
      <c r="AC166" s="40"/>
      <c r="AD166" s="41"/>
      <c r="AE166" s="23"/>
      <c r="AF166" s="40"/>
      <c r="AG166" s="41"/>
      <c r="AH166" s="23"/>
      <c r="AI166" s="40"/>
      <c r="AJ166" s="23"/>
      <c r="AK166" s="23"/>
      <c r="AL166" s="23"/>
      <c r="AM166" s="23"/>
      <c r="AN166" s="23"/>
      <c r="AO166" s="23"/>
      <c r="AP166" s="23"/>
      <c r="AQ166" s="23"/>
      <c r="AR166" s="23"/>
      <c r="AS166" s="31"/>
      <c r="AT166" s="31"/>
      <c r="AU166" s="23"/>
      <c r="AV166" s="23"/>
      <c r="AW166" s="23"/>
      <c r="AX166" s="31"/>
      <c r="AY166" s="23"/>
      <c r="AZ166" s="23"/>
      <c r="BA166" s="23"/>
      <c r="BB166" s="31"/>
      <c r="BC166" s="31"/>
      <c r="BD166" s="31"/>
      <c r="BE166" s="31"/>
      <c r="BF166" s="31"/>
      <c r="BG166" s="31"/>
      <c r="BH166" s="31"/>
      <c r="BI166" s="23"/>
      <c r="BJ166" s="31"/>
      <c r="BK166" s="31"/>
    </row>
    <row r="167" spans="1:63" ht="13.9">
      <c r="A167" s="31"/>
      <c r="B167" s="34"/>
      <c r="C167" s="31"/>
      <c r="D167" s="31"/>
      <c r="E167" s="42"/>
      <c r="F167" s="31"/>
      <c r="G167" s="31"/>
      <c r="H167" s="31"/>
      <c r="I167" s="31"/>
      <c r="J167" s="31"/>
      <c r="K167" s="31"/>
      <c r="L167" s="23"/>
      <c r="M167" s="40"/>
      <c r="N167" s="40"/>
      <c r="O167" s="40"/>
      <c r="P167" s="40"/>
      <c r="Q167" s="23"/>
      <c r="R167" s="40"/>
      <c r="S167" s="23"/>
      <c r="T167" s="23"/>
      <c r="U167" s="23"/>
      <c r="V167" s="23"/>
      <c r="W167" s="31"/>
      <c r="X167" s="23"/>
      <c r="Y167" s="23"/>
      <c r="Z167" s="40"/>
      <c r="AA167" s="23"/>
      <c r="AB167" s="23"/>
      <c r="AC167" s="40"/>
      <c r="AD167" s="41"/>
      <c r="AE167" s="23"/>
      <c r="AF167" s="40"/>
      <c r="AG167" s="41"/>
      <c r="AH167" s="23"/>
      <c r="AI167" s="40"/>
      <c r="AJ167" s="23"/>
      <c r="AK167" s="23"/>
      <c r="AL167" s="23"/>
      <c r="AM167" s="23"/>
      <c r="AN167" s="23"/>
      <c r="AO167" s="23"/>
      <c r="AP167" s="23"/>
      <c r="AQ167" s="23"/>
      <c r="AR167" s="23"/>
      <c r="AS167" s="31"/>
      <c r="AT167" s="31"/>
      <c r="AU167" s="23"/>
      <c r="AV167" s="23"/>
      <c r="AW167" s="23"/>
      <c r="AX167" s="31"/>
      <c r="AY167" s="23"/>
      <c r="AZ167" s="23"/>
      <c r="BA167" s="23"/>
      <c r="BB167" s="31"/>
      <c r="BC167" s="31"/>
      <c r="BD167" s="31"/>
      <c r="BE167" s="31"/>
      <c r="BF167" s="31"/>
      <c r="BG167" s="31"/>
      <c r="BH167" s="31"/>
      <c r="BI167" s="23"/>
      <c r="BJ167" s="31"/>
      <c r="BK167" s="31"/>
    </row>
    <row r="168" spans="1:63" ht="13.9">
      <c r="A168" s="31"/>
      <c r="B168" s="34"/>
      <c r="C168" s="31"/>
      <c r="D168" s="31"/>
      <c r="E168" s="42"/>
      <c r="F168" s="31"/>
      <c r="G168" s="31"/>
      <c r="H168" s="31"/>
      <c r="I168" s="31"/>
      <c r="J168" s="31"/>
      <c r="K168" s="31"/>
      <c r="L168" s="23"/>
      <c r="M168" s="40"/>
      <c r="N168" s="40"/>
      <c r="O168" s="40"/>
      <c r="P168" s="40"/>
      <c r="Q168" s="23"/>
      <c r="R168" s="40"/>
      <c r="S168" s="23"/>
      <c r="T168" s="23"/>
      <c r="U168" s="23"/>
      <c r="V168" s="23"/>
      <c r="W168" s="31"/>
      <c r="X168" s="23"/>
      <c r="Y168" s="23"/>
      <c r="Z168" s="40"/>
      <c r="AA168" s="23"/>
      <c r="AB168" s="23"/>
      <c r="AC168" s="40"/>
      <c r="AD168" s="41"/>
      <c r="AE168" s="23"/>
      <c r="AF168" s="40"/>
      <c r="AG168" s="41"/>
      <c r="AH168" s="23"/>
      <c r="AI168" s="40"/>
      <c r="AJ168" s="23"/>
      <c r="AK168" s="23"/>
      <c r="AL168" s="23"/>
      <c r="AM168" s="23"/>
      <c r="AN168" s="23"/>
      <c r="AO168" s="23"/>
      <c r="AP168" s="23"/>
      <c r="AQ168" s="23"/>
      <c r="AR168" s="23"/>
      <c r="AS168" s="31"/>
      <c r="AT168" s="31"/>
      <c r="AU168" s="23"/>
      <c r="AV168" s="23"/>
      <c r="AW168" s="23"/>
      <c r="AX168" s="31"/>
      <c r="AY168" s="23"/>
      <c r="AZ168" s="23"/>
      <c r="BA168" s="23"/>
      <c r="BB168" s="31"/>
      <c r="BC168" s="31"/>
      <c r="BD168" s="31"/>
      <c r="BE168" s="31"/>
      <c r="BF168" s="31"/>
      <c r="BG168" s="31"/>
      <c r="BH168" s="31"/>
      <c r="BI168" s="23"/>
      <c r="BJ168" s="31"/>
      <c r="BK168" s="31"/>
    </row>
    <row r="169" spans="1:63" ht="13.9">
      <c r="A169" s="31"/>
      <c r="B169" s="34"/>
      <c r="C169" s="31"/>
      <c r="D169" s="31"/>
      <c r="E169" s="42"/>
      <c r="F169" s="31"/>
      <c r="G169" s="31"/>
      <c r="H169" s="31"/>
      <c r="I169" s="31"/>
      <c r="J169" s="31"/>
      <c r="K169" s="31"/>
      <c r="L169" s="23"/>
      <c r="M169" s="40"/>
      <c r="N169" s="40"/>
      <c r="O169" s="40"/>
      <c r="P169" s="40"/>
      <c r="Q169" s="23"/>
      <c r="R169" s="40"/>
      <c r="S169" s="23"/>
      <c r="T169" s="23"/>
      <c r="U169" s="23"/>
      <c r="V169" s="23"/>
      <c r="W169" s="31"/>
      <c r="X169" s="23"/>
      <c r="Y169" s="23"/>
      <c r="Z169" s="40"/>
      <c r="AA169" s="23"/>
      <c r="AB169" s="23"/>
      <c r="AC169" s="40"/>
      <c r="AD169" s="41"/>
      <c r="AE169" s="23"/>
      <c r="AF169" s="40"/>
      <c r="AG169" s="41"/>
      <c r="AH169" s="23"/>
      <c r="AI169" s="40"/>
      <c r="AJ169" s="23"/>
      <c r="AK169" s="23"/>
      <c r="AL169" s="23"/>
      <c r="AM169" s="23"/>
      <c r="AN169" s="23"/>
      <c r="AO169" s="23"/>
      <c r="AP169" s="23"/>
      <c r="AQ169" s="23"/>
      <c r="AR169" s="23"/>
      <c r="AS169" s="31"/>
      <c r="AT169" s="31"/>
      <c r="AU169" s="23"/>
      <c r="AV169" s="23"/>
      <c r="AW169" s="23"/>
      <c r="AX169" s="31"/>
      <c r="AY169" s="23"/>
      <c r="AZ169" s="23"/>
      <c r="BA169" s="23"/>
      <c r="BB169" s="31"/>
      <c r="BC169" s="31"/>
      <c r="BD169" s="31"/>
      <c r="BE169" s="31"/>
      <c r="BF169" s="31"/>
      <c r="BG169" s="31"/>
      <c r="BH169" s="31"/>
      <c r="BI169" s="23"/>
      <c r="BJ169" s="31"/>
      <c r="BK169" s="31"/>
    </row>
    <row r="170" spans="1:63" ht="13.9">
      <c r="A170" s="31"/>
      <c r="B170" s="34"/>
      <c r="C170" s="31"/>
      <c r="D170" s="31"/>
      <c r="E170" s="42"/>
      <c r="F170" s="31"/>
      <c r="G170" s="31"/>
      <c r="H170" s="31"/>
      <c r="I170" s="31"/>
      <c r="J170" s="31"/>
      <c r="K170" s="31"/>
      <c r="L170" s="23"/>
      <c r="M170" s="40"/>
      <c r="N170" s="40"/>
      <c r="O170" s="40"/>
      <c r="P170" s="40"/>
      <c r="Q170" s="23"/>
      <c r="R170" s="40"/>
      <c r="S170" s="23"/>
      <c r="T170" s="23"/>
      <c r="U170" s="23"/>
      <c r="V170" s="23"/>
      <c r="W170" s="31"/>
      <c r="X170" s="23"/>
      <c r="Y170" s="23"/>
      <c r="Z170" s="40"/>
      <c r="AA170" s="23"/>
      <c r="AB170" s="23"/>
      <c r="AC170" s="40"/>
      <c r="AD170" s="41"/>
      <c r="AE170" s="23"/>
      <c r="AF170" s="40"/>
      <c r="AG170" s="41"/>
      <c r="AH170" s="23"/>
      <c r="AI170" s="40"/>
      <c r="AJ170" s="23"/>
      <c r="AK170" s="23"/>
      <c r="AL170" s="23"/>
      <c r="AM170" s="23"/>
      <c r="AN170" s="23"/>
      <c r="AO170" s="23"/>
      <c r="AP170" s="23"/>
      <c r="AQ170" s="23"/>
      <c r="AR170" s="23"/>
      <c r="AS170" s="31"/>
      <c r="AT170" s="31"/>
      <c r="AU170" s="23"/>
      <c r="AV170" s="23"/>
      <c r="AW170" s="23"/>
      <c r="AX170" s="31"/>
      <c r="AY170" s="23"/>
      <c r="AZ170" s="23"/>
      <c r="BA170" s="23"/>
      <c r="BB170" s="31"/>
      <c r="BC170" s="31"/>
      <c r="BD170" s="31"/>
      <c r="BE170" s="31"/>
      <c r="BF170" s="31"/>
      <c r="BG170" s="31"/>
      <c r="BH170" s="31"/>
      <c r="BI170" s="23"/>
      <c r="BJ170" s="31"/>
      <c r="BK170" s="31"/>
    </row>
    <row r="171" spans="1:63" ht="13.9">
      <c r="A171" s="31"/>
      <c r="B171" s="34"/>
      <c r="C171" s="31"/>
      <c r="D171" s="31"/>
      <c r="E171" s="42"/>
      <c r="F171" s="31"/>
      <c r="G171" s="31"/>
      <c r="H171" s="31"/>
      <c r="I171" s="31"/>
      <c r="J171" s="31"/>
      <c r="K171" s="31"/>
      <c r="L171" s="23"/>
      <c r="M171" s="40"/>
      <c r="N171" s="40"/>
      <c r="O171" s="40"/>
      <c r="P171" s="40"/>
      <c r="Q171" s="23"/>
      <c r="R171" s="40"/>
      <c r="S171" s="23"/>
      <c r="T171" s="23"/>
      <c r="U171" s="23"/>
      <c r="V171" s="23"/>
      <c r="W171" s="31"/>
      <c r="X171" s="23"/>
      <c r="Y171" s="23"/>
      <c r="Z171" s="40"/>
      <c r="AA171" s="23"/>
      <c r="AB171" s="23"/>
      <c r="AC171" s="40"/>
      <c r="AD171" s="41"/>
      <c r="AE171" s="23"/>
      <c r="AF171" s="40"/>
      <c r="AG171" s="41"/>
      <c r="AH171" s="23"/>
      <c r="AI171" s="40"/>
      <c r="AJ171" s="23"/>
      <c r="AK171" s="23"/>
      <c r="AL171" s="23"/>
      <c r="AM171" s="23"/>
      <c r="AN171" s="23"/>
      <c r="AO171" s="23"/>
      <c r="AP171" s="23"/>
      <c r="AQ171" s="23"/>
      <c r="AR171" s="23"/>
      <c r="AS171" s="31"/>
      <c r="AT171" s="31"/>
      <c r="AU171" s="23"/>
      <c r="AV171" s="23"/>
      <c r="AW171" s="23"/>
      <c r="AX171" s="31"/>
      <c r="AY171" s="23"/>
      <c r="AZ171" s="23"/>
      <c r="BA171" s="23"/>
      <c r="BB171" s="31"/>
      <c r="BC171" s="31"/>
      <c r="BD171" s="31"/>
      <c r="BE171" s="31"/>
      <c r="BF171" s="31"/>
      <c r="BG171" s="31"/>
      <c r="BH171" s="31"/>
      <c r="BI171" s="23"/>
      <c r="BJ171" s="31"/>
      <c r="BK171" s="31"/>
    </row>
    <row r="172" spans="1:63" ht="13.9">
      <c r="A172" s="31"/>
      <c r="B172" s="34"/>
      <c r="C172" s="31"/>
      <c r="D172" s="31"/>
      <c r="E172" s="42"/>
      <c r="F172" s="31"/>
      <c r="G172" s="31"/>
      <c r="H172" s="31"/>
      <c r="I172" s="31"/>
      <c r="J172" s="31"/>
      <c r="K172" s="31"/>
      <c r="L172" s="23"/>
      <c r="M172" s="40"/>
      <c r="N172" s="40"/>
      <c r="O172" s="40"/>
      <c r="P172" s="40"/>
      <c r="Q172" s="23"/>
      <c r="R172" s="40"/>
      <c r="S172" s="23"/>
      <c r="T172" s="23"/>
      <c r="U172" s="23"/>
      <c r="V172" s="23"/>
      <c r="W172" s="31"/>
      <c r="X172" s="23"/>
      <c r="Y172" s="23"/>
      <c r="Z172" s="40"/>
      <c r="AA172" s="23"/>
      <c r="AB172" s="23"/>
      <c r="AC172" s="40"/>
      <c r="AD172" s="41"/>
      <c r="AE172" s="23"/>
      <c r="AF172" s="40"/>
      <c r="AG172" s="41"/>
      <c r="AH172" s="23"/>
      <c r="AI172" s="40"/>
      <c r="AJ172" s="23"/>
      <c r="AK172" s="23"/>
      <c r="AL172" s="23"/>
      <c r="AM172" s="23"/>
      <c r="AN172" s="23"/>
      <c r="AO172" s="23"/>
      <c r="AP172" s="23"/>
      <c r="AQ172" s="23"/>
      <c r="AR172" s="23"/>
      <c r="AS172" s="31"/>
      <c r="AT172" s="31"/>
      <c r="AU172" s="23"/>
      <c r="AV172" s="23"/>
      <c r="AW172" s="23"/>
      <c r="AX172" s="31"/>
      <c r="AY172" s="23"/>
      <c r="AZ172" s="23"/>
      <c r="BA172" s="23"/>
      <c r="BB172" s="31"/>
      <c r="BC172" s="31"/>
      <c r="BD172" s="31"/>
      <c r="BE172" s="31"/>
      <c r="BF172" s="31"/>
      <c r="BG172" s="31"/>
      <c r="BH172" s="31"/>
      <c r="BI172" s="23"/>
      <c r="BJ172" s="31"/>
      <c r="BK172" s="31"/>
    </row>
    <row r="173" spans="1:63" ht="13.9">
      <c r="A173" s="31"/>
      <c r="B173" s="34"/>
      <c r="C173" s="31"/>
      <c r="D173" s="31"/>
      <c r="E173" s="42"/>
      <c r="F173" s="31"/>
      <c r="G173" s="31"/>
      <c r="H173" s="31"/>
      <c r="I173" s="31"/>
      <c r="J173" s="31"/>
      <c r="K173" s="31"/>
      <c r="L173" s="23"/>
      <c r="M173" s="40"/>
      <c r="N173" s="40"/>
      <c r="O173" s="40"/>
      <c r="P173" s="40"/>
      <c r="Q173" s="23"/>
      <c r="R173" s="40"/>
      <c r="S173" s="23"/>
      <c r="T173" s="23"/>
      <c r="U173" s="23"/>
      <c r="V173" s="23"/>
      <c r="W173" s="31"/>
      <c r="X173" s="23"/>
      <c r="Y173" s="23"/>
      <c r="Z173" s="40"/>
      <c r="AA173" s="23"/>
      <c r="AB173" s="23"/>
      <c r="AC173" s="40"/>
      <c r="AD173" s="41"/>
      <c r="AE173" s="23"/>
      <c r="AF173" s="40"/>
      <c r="AG173" s="41"/>
      <c r="AH173" s="23"/>
      <c r="AI173" s="40"/>
      <c r="AJ173" s="23"/>
      <c r="AK173" s="23"/>
      <c r="AL173" s="23"/>
      <c r="AM173" s="23"/>
      <c r="AN173" s="23"/>
      <c r="AO173" s="23"/>
      <c r="AP173" s="23"/>
      <c r="AQ173" s="23"/>
      <c r="AR173" s="23"/>
      <c r="AS173" s="31"/>
      <c r="AT173" s="31"/>
      <c r="AU173" s="23"/>
      <c r="AV173" s="23"/>
      <c r="AW173" s="23"/>
      <c r="AX173" s="31"/>
      <c r="AY173" s="23"/>
      <c r="AZ173" s="23"/>
      <c r="BA173" s="23"/>
      <c r="BB173" s="31"/>
      <c r="BC173" s="31"/>
      <c r="BD173" s="31"/>
      <c r="BE173" s="31"/>
      <c r="BF173" s="31"/>
      <c r="BG173" s="31"/>
      <c r="BH173" s="31"/>
      <c r="BI173" s="23"/>
      <c r="BJ173" s="31"/>
      <c r="BK173" s="31"/>
    </row>
    <row r="174" spans="1:63" ht="13.9">
      <c r="A174" s="31"/>
      <c r="B174" s="34"/>
      <c r="C174" s="31"/>
      <c r="D174" s="31"/>
      <c r="E174" s="42"/>
      <c r="F174" s="31"/>
      <c r="G174" s="31"/>
      <c r="H174" s="31"/>
      <c r="I174" s="31"/>
      <c r="J174" s="31"/>
      <c r="K174" s="31"/>
      <c r="L174" s="23"/>
      <c r="M174" s="40"/>
      <c r="N174" s="40"/>
      <c r="O174" s="40"/>
      <c r="P174" s="40"/>
      <c r="Q174" s="23"/>
      <c r="R174" s="40"/>
      <c r="S174" s="23"/>
      <c r="T174" s="23"/>
      <c r="U174" s="23"/>
      <c r="V174" s="23"/>
      <c r="W174" s="31"/>
      <c r="X174" s="23"/>
      <c r="Y174" s="23"/>
      <c r="Z174" s="40"/>
      <c r="AA174" s="23"/>
      <c r="AB174" s="23"/>
      <c r="AC174" s="40"/>
      <c r="AD174" s="41"/>
      <c r="AE174" s="23"/>
      <c r="AF174" s="40"/>
      <c r="AG174" s="41"/>
      <c r="AH174" s="23"/>
      <c r="AI174" s="40"/>
      <c r="AJ174" s="23"/>
      <c r="AK174" s="23"/>
      <c r="AL174" s="23"/>
      <c r="AM174" s="23"/>
      <c r="AN174" s="23"/>
      <c r="AO174" s="23"/>
      <c r="AP174" s="23"/>
      <c r="AQ174" s="23"/>
      <c r="AR174" s="23"/>
      <c r="AS174" s="31"/>
      <c r="AT174" s="31"/>
      <c r="AU174" s="23"/>
      <c r="AV174" s="23"/>
      <c r="AW174" s="23"/>
      <c r="AX174" s="31"/>
      <c r="AY174" s="23"/>
      <c r="AZ174" s="23"/>
      <c r="BA174" s="23"/>
      <c r="BB174" s="31"/>
      <c r="BC174" s="31"/>
      <c r="BD174" s="31"/>
      <c r="BE174" s="31"/>
      <c r="BF174" s="31"/>
      <c r="BG174" s="31"/>
      <c r="BH174" s="31"/>
      <c r="BI174" s="23"/>
      <c r="BJ174" s="31"/>
      <c r="BK174" s="31"/>
    </row>
    <row r="175" spans="1:63" ht="13.9">
      <c r="A175" s="31"/>
      <c r="B175" s="34"/>
      <c r="C175" s="31"/>
      <c r="D175" s="31"/>
      <c r="E175" s="42"/>
      <c r="F175" s="31"/>
      <c r="G175" s="31"/>
      <c r="H175" s="31"/>
      <c r="I175" s="31"/>
      <c r="J175" s="31"/>
      <c r="K175" s="31"/>
      <c r="L175" s="23"/>
      <c r="M175" s="40"/>
      <c r="N175" s="40"/>
      <c r="O175" s="40"/>
      <c r="P175" s="40"/>
      <c r="Q175" s="23"/>
      <c r="R175" s="40"/>
      <c r="S175" s="23"/>
      <c r="T175" s="23"/>
      <c r="U175" s="23"/>
      <c r="V175" s="23"/>
      <c r="W175" s="31"/>
      <c r="X175" s="23"/>
      <c r="Y175" s="23"/>
      <c r="Z175" s="40"/>
      <c r="AA175" s="23"/>
      <c r="AB175" s="23"/>
      <c r="AC175" s="40"/>
      <c r="AD175" s="41"/>
      <c r="AE175" s="23"/>
      <c r="AF175" s="40"/>
      <c r="AG175" s="41"/>
      <c r="AH175" s="23"/>
      <c r="AI175" s="40"/>
      <c r="AJ175" s="23"/>
      <c r="AK175" s="23"/>
      <c r="AL175" s="23"/>
      <c r="AM175" s="23"/>
      <c r="AN175" s="23"/>
      <c r="AO175" s="23"/>
      <c r="AP175" s="23"/>
      <c r="AQ175" s="23"/>
      <c r="AR175" s="23"/>
      <c r="AS175" s="31"/>
      <c r="AT175" s="31"/>
      <c r="AU175" s="23"/>
      <c r="AV175" s="23"/>
      <c r="AW175" s="23"/>
      <c r="AX175" s="31"/>
      <c r="AY175" s="23"/>
      <c r="AZ175" s="23"/>
      <c r="BA175" s="23"/>
      <c r="BB175" s="31"/>
      <c r="BC175" s="31"/>
      <c r="BD175" s="31"/>
      <c r="BE175" s="31"/>
      <c r="BF175" s="31"/>
      <c r="BG175" s="31"/>
      <c r="BH175" s="31"/>
      <c r="BI175" s="23"/>
      <c r="BJ175" s="31"/>
      <c r="BK175" s="31"/>
    </row>
    <row r="176" spans="1:63" ht="13.9">
      <c r="A176" s="31"/>
      <c r="B176" s="34"/>
      <c r="C176" s="31"/>
      <c r="D176" s="31"/>
      <c r="E176" s="42"/>
      <c r="F176" s="31"/>
      <c r="G176" s="31"/>
      <c r="H176" s="31"/>
      <c r="I176" s="31"/>
      <c r="J176" s="31"/>
      <c r="K176" s="31"/>
      <c r="L176" s="23"/>
      <c r="M176" s="40"/>
      <c r="N176" s="40"/>
      <c r="O176" s="40"/>
      <c r="P176" s="40"/>
      <c r="Q176" s="23"/>
      <c r="R176" s="40"/>
      <c r="S176" s="23"/>
      <c r="T176" s="23"/>
      <c r="U176" s="23"/>
      <c r="V176" s="23"/>
      <c r="W176" s="31"/>
      <c r="X176" s="23"/>
      <c r="Y176" s="23"/>
      <c r="Z176" s="40"/>
      <c r="AA176" s="23"/>
      <c r="AB176" s="23"/>
      <c r="AC176" s="40"/>
      <c r="AD176" s="41"/>
      <c r="AE176" s="23"/>
      <c r="AF176" s="40"/>
      <c r="AG176" s="41"/>
      <c r="AH176" s="23"/>
      <c r="AI176" s="40"/>
      <c r="AJ176" s="23"/>
      <c r="AK176" s="23"/>
      <c r="AL176" s="23"/>
      <c r="AM176" s="23"/>
      <c r="AN176" s="23"/>
      <c r="AO176" s="23"/>
      <c r="AP176" s="23"/>
      <c r="AQ176" s="23"/>
      <c r="AR176" s="23"/>
      <c r="AS176" s="31"/>
      <c r="AT176" s="31"/>
      <c r="AU176" s="23"/>
      <c r="AV176" s="23"/>
      <c r="AW176" s="23"/>
      <c r="AX176" s="31"/>
      <c r="AY176" s="23"/>
      <c r="AZ176" s="23"/>
      <c r="BA176" s="23"/>
      <c r="BB176" s="31"/>
      <c r="BC176" s="31"/>
      <c r="BD176" s="31"/>
      <c r="BE176" s="31"/>
      <c r="BF176" s="31"/>
      <c r="BG176" s="31"/>
      <c r="BH176" s="31"/>
      <c r="BI176" s="23"/>
      <c r="BJ176" s="31"/>
      <c r="BK176" s="31"/>
    </row>
    <row r="177" spans="1:63" ht="13.9">
      <c r="A177" s="31"/>
      <c r="B177" s="34"/>
      <c r="C177" s="31"/>
      <c r="D177" s="31"/>
      <c r="E177" s="42"/>
      <c r="F177" s="31"/>
      <c r="G177" s="31"/>
      <c r="H177" s="31"/>
      <c r="I177" s="31"/>
      <c r="J177" s="31"/>
      <c r="K177" s="31"/>
      <c r="L177" s="23"/>
      <c r="M177" s="40"/>
      <c r="N177" s="40"/>
      <c r="O177" s="40"/>
      <c r="P177" s="40"/>
      <c r="Q177" s="23"/>
      <c r="R177" s="40"/>
      <c r="S177" s="23"/>
      <c r="T177" s="23"/>
      <c r="U177" s="23"/>
      <c r="V177" s="23"/>
      <c r="W177" s="31"/>
      <c r="X177" s="23"/>
      <c r="Y177" s="23"/>
      <c r="Z177" s="40"/>
      <c r="AA177" s="23"/>
      <c r="AB177" s="23"/>
      <c r="AC177" s="40"/>
      <c r="AD177" s="41"/>
      <c r="AE177" s="23"/>
      <c r="AF177" s="40"/>
      <c r="AG177" s="41"/>
      <c r="AH177" s="23"/>
      <c r="AI177" s="40"/>
      <c r="AJ177" s="23"/>
      <c r="AK177" s="23"/>
      <c r="AL177" s="23"/>
      <c r="AM177" s="23"/>
      <c r="AN177" s="23"/>
      <c r="AO177" s="23"/>
      <c r="AP177" s="23"/>
      <c r="AQ177" s="23"/>
      <c r="AR177" s="23"/>
      <c r="AS177" s="31"/>
      <c r="AT177" s="31"/>
      <c r="AU177" s="23"/>
      <c r="AV177" s="23"/>
      <c r="AW177" s="23"/>
      <c r="AX177" s="31"/>
      <c r="AY177" s="23"/>
      <c r="AZ177" s="23"/>
      <c r="BA177" s="23"/>
      <c r="BB177" s="31"/>
      <c r="BC177" s="31"/>
      <c r="BD177" s="31"/>
      <c r="BE177" s="31"/>
      <c r="BF177" s="31"/>
      <c r="BG177" s="31"/>
      <c r="BH177" s="31"/>
      <c r="BI177" s="23"/>
      <c r="BJ177" s="31"/>
      <c r="BK177" s="31"/>
    </row>
    <row r="178" spans="1:63" ht="13.9">
      <c r="A178" s="31"/>
      <c r="B178" s="34"/>
      <c r="C178" s="31"/>
      <c r="D178" s="31"/>
      <c r="E178" s="42"/>
      <c r="F178" s="31"/>
      <c r="G178" s="31"/>
      <c r="H178" s="31"/>
      <c r="I178" s="31"/>
      <c r="J178" s="31"/>
      <c r="K178" s="31"/>
      <c r="L178" s="23"/>
      <c r="M178" s="40"/>
      <c r="N178" s="40"/>
      <c r="O178" s="40"/>
      <c r="P178" s="40"/>
      <c r="Q178" s="23"/>
      <c r="R178" s="40"/>
      <c r="S178" s="23"/>
      <c r="T178" s="23"/>
      <c r="U178" s="23"/>
      <c r="V178" s="23"/>
      <c r="W178" s="31"/>
      <c r="X178" s="23"/>
      <c r="Y178" s="23"/>
      <c r="Z178" s="40"/>
      <c r="AA178" s="23"/>
      <c r="AB178" s="23"/>
      <c r="AC178" s="40"/>
      <c r="AD178" s="41"/>
      <c r="AE178" s="23"/>
      <c r="AF178" s="40"/>
      <c r="AG178" s="41"/>
      <c r="AH178" s="23"/>
      <c r="AI178" s="40"/>
      <c r="AJ178" s="23"/>
      <c r="AK178" s="23"/>
      <c r="AL178" s="23"/>
      <c r="AM178" s="23"/>
      <c r="AN178" s="23"/>
      <c r="AO178" s="23"/>
      <c r="AP178" s="23"/>
      <c r="AQ178" s="23"/>
      <c r="AR178" s="23"/>
      <c r="AS178" s="31"/>
      <c r="AT178" s="31"/>
      <c r="AU178" s="23"/>
      <c r="AV178" s="23"/>
      <c r="AW178" s="23"/>
      <c r="AX178" s="31"/>
      <c r="AY178" s="23"/>
      <c r="AZ178" s="23"/>
      <c r="BA178" s="23"/>
      <c r="BB178" s="31"/>
      <c r="BC178" s="31"/>
      <c r="BD178" s="31"/>
      <c r="BE178" s="31"/>
      <c r="BF178" s="31"/>
      <c r="BG178" s="31"/>
      <c r="BH178" s="31"/>
      <c r="BI178" s="23"/>
      <c r="BJ178" s="31"/>
      <c r="BK178" s="31"/>
    </row>
    <row r="179" spans="1:63" ht="13.9">
      <c r="A179" s="31"/>
      <c r="B179" s="34"/>
      <c r="C179" s="31"/>
      <c r="D179" s="31"/>
      <c r="E179" s="42"/>
      <c r="F179" s="31"/>
      <c r="G179" s="31"/>
      <c r="H179" s="31"/>
      <c r="I179" s="31"/>
      <c r="J179" s="31"/>
      <c r="K179" s="31"/>
      <c r="L179" s="23"/>
      <c r="M179" s="40"/>
      <c r="N179" s="40"/>
      <c r="O179" s="40"/>
      <c r="P179" s="40"/>
      <c r="Q179" s="23"/>
      <c r="R179" s="40"/>
      <c r="S179" s="23"/>
      <c r="T179" s="23"/>
      <c r="U179" s="23"/>
      <c r="V179" s="23"/>
      <c r="W179" s="31"/>
      <c r="X179" s="23"/>
      <c r="Y179" s="23"/>
      <c r="Z179" s="40"/>
      <c r="AA179" s="23"/>
      <c r="AB179" s="23"/>
      <c r="AC179" s="40"/>
      <c r="AD179" s="41"/>
      <c r="AE179" s="23"/>
      <c r="AF179" s="40"/>
      <c r="AG179" s="41"/>
      <c r="AH179" s="23"/>
      <c r="AI179" s="40"/>
      <c r="AJ179" s="23"/>
      <c r="AK179" s="23"/>
      <c r="AL179" s="23"/>
      <c r="AM179" s="23"/>
      <c r="AN179" s="23"/>
      <c r="AO179" s="23"/>
      <c r="AP179" s="23"/>
      <c r="AQ179" s="23"/>
      <c r="AR179" s="23"/>
      <c r="AS179" s="31"/>
      <c r="AT179" s="31"/>
      <c r="AU179" s="23"/>
      <c r="AV179" s="23"/>
      <c r="AW179" s="23"/>
      <c r="AX179" s="31"/>
      <c r="AY179" s="23"/>
      <c r="AZ179" s="23"/>
      <c r="BA179" s="23"/>
      <c r="BB179" s="31"/>
      <c r="BC179" s="31"/>
      <c r="BD179" s="31"/>
      <c r="BE179" s="31"/>
      <c r="BF179" s="31"/>
      <c r="BG179" s="31"/>
      <c r="BH179" s="31"/>
      <c r="BI179" s="23"/>
      <c r="BJ179" s="31"/>
      <c r="BK179" s="31"/>
    </row>
    <row r="180" spans="1:63" ht="13.9">
      <c r="A180" s="31"/>
      <c r="B180" s="34"/>
      <c r="C180" s="31"/>
      <c r="D180" s="31"/>
      <c r="E180" s="42"/>
      <c r="F180" s="31"/>
      <c r="G180" s="31"/>
      <c r="H180" s="31"/>
      <c r="I180" s="31"/>
      <c r="J180" s="31"/>
      <c r="K180" s="31"/>
      <c r="L180" s="23"/>
      <c r="M180" s="40"/>
      <c r="N180" s="40"/>
      <c r="O180" s="40"/>
      <c r="P180" s="40"/>
      <c r="Q180" s="23"/>
      <c r="R180" s="40"/>
      <c r="S180" s="23"/>
      <c r="T180" s="23"/>
      <c r="U180" s="23"/>
      <c r="V180" s="23"/>
      <c r="W180" s="31"/>
      <c r="X180" s="23"/>
      <c r="Y180" s="23"/>
      <c r="Z180" s="40"/>
      <c r="AA180" s="23"/>
      <c r="AB180" s="23"/>
      <c r="AC180" s="40"/>
      <c r="AD180" s="41"/>
      <c r="AE180" s="23"/>
      <c r="AF180" s="40"/>
      <c r="AG180" s="41"/>
      <c r="AH180" s="23"/>
      <c r="AI180" s="40"/>
      <c r="AJ180" s="23"/>
      <c r="AK180" s="23"/>
      <c r="AL180" s="23"/>
      <c r="AM180" s="23"/>
      <c r="AN180" s="23"/>
      <c r="AO180" s="23"/>
      <c r="AP180" s="23"/>
      <c r="AQ180" s="23"/>
      <c r="AR180" s="23"/>
      <c r="AS180" s="31"/>
      <c r="AT180" s="31"/>
      <c r="AU180" s="23"/>
      <c r="AV180" s="23"/>
      <c r="AW180" s="23"/>
      <c r="AX180" s="31"/>
      <c r="AY180" s="23"/>
      <c r="AZ180" s="23"/>
      <c r="BA180" s="23"/>
      <c r="BB180" s="31"/>
      <c r="BC180" s="31"/>
      <c r="BD180" s="31"/>
      <c r="BE180" s="31"/>
      <c r="BF180" s="31"/>
      <c r="BG180" s="31"/>
      <c r="BH180" s="31"/>
      <c r="BI180" s="23"/>
      <c r="BJ180" s="31"/>
      <c r="BK180" s="31"/>
    </row>
    <row r="181" spans="1:63" ht="13.9">
      <c r="A181" s="31"/>
      <c r="B181" s="34"/>
      <c r="C181" s="31"/>
      <c r="D181" s="31"/>
      <c r="E181" s="42"/>
      <c r="F181" s="31"/>
      <c r="G181" s="31"/>
      <c r="H181" s="31"/>
      <c r="I181" s="31"/>
      <c r="J181" s="31"/>
      <c r="K181" s="31"/>
      <c r="L181" s="23"/>
      <c r="M181" s="40"/>
      <c r="N181" s="40"/>
      <c r="O181" s="40"/>
      <c r="P181" s="40"/>
      <c r="Q181" s="23"/>
      <c r="R181" s="40"/>
      <c r="S181" s="23"/>
      <c r="T181" s="23"/>
      <c r="U181" s="23"/>
      <c r="V181" s="23"/>
      <c r="W181" s="31"/>
      <c r="X181" s="23"/>
      <c r="Y181" s="23"/>
      <c r="Z181" s="40"/>
      <c r="AA181" s="23"/>
      <c r="AB181" s="23"/>
      <c r="AC181" s="40"/>
      <c r="AD181" s="41"/>
      <c r="AE181" s="23"/>
      <c r="AF181" s="40"/>
      <c r="AG181" s="41"/>
      <c r="AH181" s="23"/>
      <c r="AI181" s="40"/>
      <c r="AJ181" s="23"/>
      <c r="AK181" s="23"/>
      <c r="AL181" s="23"/>
      <c r="AM181" s="23"/>
      <c r="AN181" s="23"/>
      <c r="AO181" s="23"/>
      <c r="AP181" s="23"/>
      <c r="AQ181" s="23"/>
      <c r="AR181" s="23"/>
      <c r="AS181" s="31"/>
      <c r="AT181" s="31"/>
      <c r="AU181" s="23"/>
      <c r="AV181" s="23"/>
      <c r="AW181" s="23"/>
      <c r="AX181" s="31"/>
      <c r="AY181" s="23"/>
      <c r="AZ181" s="23"/>
      <c r="BA181" s="23"/>
      <c r="BB181" s="31"/>
      <c r="BC181" s="31"/>
      <c r="BD181" s="31"/>
      <c r="BE181" s="31"/>
      <c r="BF181" s="31"/>
      <c r="BG181" s="31"/>
      <c r="BH181" s="31"/>
      <c r="BI181" s="23"/>
      <c r="BJ181" s="31"/>
      <c r="BK181" s="31"/>
    </row>
    <row r="182" spans="1:63" ht="13.9">
      <c r="A182" s="31"/>
      <c r="B182" s="34"/>
      <c r="C182" s="31"/>
      <c r="D182" s="31"/>
      <c r="E182" s="42"/>
      <c r="F182" s="31"/>
      <c r="G182" s="31"/>
      <c r="H182" s="31"/>
      <c r="I182" s="31"/>
      <c r="J182" s="31"/>
      <c r="K182" s="31"/>
      <c r="L182" s="23"/>
      <c r="M182" s="40"/>
      <c r="N182" s="40"/>
      <c r="O182" s="40"/>
      <c r="P182" s="40"/>
      <c r="Q182" s="23"/>
      <c r="R182" s="40"/>
      <c r="S182" s="23"/>
      <c r="T182" s="23"/>
      <c r="U182" s="23"/>
      <c r="V182" s="23"/>
      <c r="W182" s="31"/>
      <c r="X182" s="23"/>
      <c r="Y182" s="23"/>
      <c r="Z182" s="40"/>
      <c r="AA182" s="23"/>
      <c r="AB182" s="23"/>
      <c r="AC182" s="40"/>
      <c r="AD182" s="41"/>
      <c r="AE182" s="23"/>
      <c r="AF182" s="40"/>
      <c r="AG182" s="41"/>
      <c r="AH182" s="23"/>
      <c r="AI182" s="40"/>
      <c r="AJ182" s="23"/>
      <c r="AK182" s="23"/>
      <c r="AL182" s="23"/>
      <c r="AM182" s="23"/>
      <c r="AN182" s="23"/>
      <c r="AO182" s="23"/>
      <c r="AP182" s="23"/>
      <c r="AQ182" s="23"/>
      <c r="AR182" s="23"/>
      <c r="AS182" s="31"/>
      <c r="AT182" s="31"/>
      <c r="AU182" s="23"/>
      <c r="AV182" s="23"/>
      <c r="AW182" s="23"/>
      <c r="AX182" s="31"/>
      <c r="AY182" s="23"/>
      <c r="AZ182" s="23"/>
      <c r="BA182" s="23"/>
      <c r="BB182" s="31"/>
      <c r="BC182" s="31"/>
      <c r="BD182" s="31"/>
      <c r="BE182" s="31"/>
      <c r="BF182" s="31"/>
      <c r="BG182" s="31"/>
      <c r="BH182" s="31"/>
      <c r="BI182" s="23"/>
      <c r="BJ182" s="31"/>
      <c r="BK182" s="31"/>
    </row>
    <row r="183" spans="1:63" ht="13.9">
      <c r="A183" s="31"/>
      <c r="B183" s="34"/>
      <c r="C183" s="31"/>
      <c r="D183" s="31"/>
      <c r="E183" s="42"/>
      <c r="F183" s="31"/>
      <c r="G183" s="31"/>
      <c r="H183" s="31"/>
      <c r="I183" s="31"/>
      <c r="J183" s="31"/>
      <c r="K183" s="31"/>
      <c r="L183" s="23"/>
      <c r="M183" s="40"/>
      <c r="N183" s="40"/>
      <c r="O183" s="40"/>
      <c r="P183" s="40"/>
      <c r="Q183" s="23"/>
      <c r="R183" s="40"/>
      <c r="S183" s="23"/>
      <c r="T183" s="23"/>
      <c r="U183" s="23"/>
      <c r="V183" s="23"/>
      <c r="W183" s="31"/>
      <c r="X183" s="23"/>
      <c r="Y183" s="23"/>
      <c r="Z183" s="40"/>
      <c r="AA183" s="23"/>
      <c r="AB183" s="23"/>
      <c r="AC183" s="40"/>
      <c r="AD183" s="41"/>
      <c r="AE183" s="23"/>
      <c r="AF183" s="40"/>
      <c r="AG183" s="41"/>
      <c r="AH183" s="23"/>
      <c r="AI183" s="40"/>
      <c r="AJ183" s="23"/>
      <c r="AK183" s="23"/>
      <c r="AL183" s="23"/>
      <c r="AM183" s="23"/>
      <c r="AN183" s="23"/>
      <c r="AO183" s="23"/>
      <c r="AP183" s="23"/>
      <c r="AQ183" s="23"/>
      <c r="AR183" s="23"/>
      <c r="AS183" s="31"/>
      <c r="AT183" s="31"/>
      <c r="AU183" s="23"/>
      <c r="AV183" s="23"/>
      <c r="AW183" s="23"/>
      <c r="AX183" s="31"/>
      <c r="AY183" s="23"/>
      <c r="AZ183" s="23"/>
      <c r="BA183" s="23"/>
      <c r="BB183" s="31"/>
      <c r="BC183" s="31"/>
      <c r="BD183" s="31"/>
      <c r="BE183" s="31"/>
      <c r="BF183" s="31"/>
      <c r="BG183" s="31"/>
      <c r="BH183" s="31"/>
      <c r="BI183" s="23"/>
      <c r="BJ183" s="31"/>
      <c r="BK183" s="31"/>
    </row>
    <row r="184" spans="1:63" ht="13.9">
      <c r="A184" s="31"/>
      <c r="B184" s="34"/>
      <c r="C184" s="31"/>
      <c r="D184" s="31"/>
      <c r="E184" s="42"/>
      <c r="F184" s="31"/>
      <c r="G184" s="31"/>
      <c r="H184" s="31"/>
      <c r="I184" s="31"/>
      <c r="J184" s="31"/>
      <c r="K184" s="31"/>
      <c r="L184" s="23"/>
      <c r="M184" s="40"/>
      <c r="N184" s="40"/>
      <c r="O184" s="40"/>
      <c r="P184" s="40"/>
      <c r="Q184" s="23"/>
      <c r="R184" s="40"/>
      <c r="S184" s="23"/>
      <c r="T184" s="23"/>
      <c r="U184" s="23"/>
      <c r="V184" s="23"/>
      <c r="W184" s="31"/>
      <c r="X184" s="23"/>
      <c r="Y184" s="23"/>
      <c r="Z184" s="40"/>
      <c r="AA184" s="23"/>
      <c r="AB184" s="23"/>
      <c r="AC184" s="40"/>
      <c r="AD184" s="41"/>
      <c r="AE184" s="23"/>
      <c r="AF184" s="40"/>
      <c r="AG184" s="41"/>
      <c r="AH184" s="23"/>
      <c r="AI184" s="40"/>
      <c r="AJ184" s="23"/>
      <c r="AK184" s="23"/>
      <c r="AL184" s="23"/>
      <c r="AM184" s="23"/>
      <c r="AN184" s="23"/>
      <c r="AO184" s="23"/>
      <c r="AP184" s="23"/>
      <c r="AQ184" s="23"/>
      <c r="AR184" s="23"/>
      <c r="AS184" s="31"/>
      <c r="AT184" s="31"/>
      <c r="AU184" s="23"/>
      <c r="AV184" s="23"/>
      <c r="AW184" s="23"/>
      <c r="AX184" s="31"/>
      <c r="AY184" s="23"/>
      <c r="AZ184" s="23"/>
      <c r="BA184" s="23"/>
      <c r="BB184" s="31"/>
      <c r="BC184" s="31"/>
      <c r="BD184" s="31"/>
      <c r="BE184" s="31"/>
      <c r="BF184" s="31"/>
      <c r="BG184" s="31"/>
      <c r="BH184" s="31"/>
      <c r="BI184" s="23"/>
      <c r="BJ184" s="31"/>
      <c r="BK184" s="31"/>
    </row>
    <row r="185" spans="1:63" ht="13.9">
      <c r="A185" s="31"/>
      <c r="B185" s="34"/>
      <c r="C185" s="31"/>
      <c r="D185" s="31"/>
      <c r="E185" s="42"/>
      <c r="F185" s="31"/>
      <c r="G185" s="31"/>
      <c r="H185" s="31"/>
      <c r="I185" s="31"/>
      <c r="J185" s="31"/>
      <c r="K185" s="31"/>
      <c r="L185" s="23"/>
      <c r="M185" s="40"/>
      <c r="N185" s="40"/>
      <c r="O185" s="40"/>
      <c r="P185" s="40"/>
      <c r="Q185" s="23"/>
      <c r="R185" s="40"/>
      <c r="S185" s="23"/>
      <c r="T185" s="23"/>
      <c r="U185" s="23"/>
      <c r="V185" s="23"/>
      <c r="W185" s="31"/>
      <c r="X185" s="23"/>
      <c r="Y185" s="23"/>
      <c r="Z185" s="40"/>
      <c r="AA185" s="23"/>
      <c r="AB185" s="23"/>
      <c r="AC185" s="40"/>
      <c r="AD185" s="41"/>
      <c r="AE185" s="23"/>
      <c r="AF185" s="40"/>
      <c r="AG185" s="41"/>
      <c r="AH185" s="23"/>
      <c r="AI185" s="40"/>
      <c r="AJ185" s="23"/>
      <c r="AK185" s="23"/>
      <c r="AL185" s="23"/>
      <c r="AM185" s="23"/>
      <c r="AN185" s="23"/>
      <c r="AO185" s="23"/>
      <c r="AP185" s="23"/>
      <c r="AQ185" s="23"/>
      <c r="AR185" s="23"/>
      <c r="AS185" s="31"/>
      <c r="AT185" s="31"/>
      <c r="AU185" s="23"/>
      <c r="AV185" s="23"/>
      <c r="AW185" s="23"/>
      <c r="AX185" s="31"/>
      <c r="AY185" s="23"/>
      <c r="AZ185" s="23"/>
      <c r="BA185" s="23"/>
      <c r="BB185" s="31"/>
      <c r="BC185" s="31"/>
      <c r="BD185" s="31"/>
      <c r="BE185" s="31"/>
      <c r="BF185" s="31"/>
      <c r="BG185" s="31"/>
      <c r="BH185" s="31"/>
      <c r="BI185" s="23"/>
      <c r="BJ185" s="31"/>
      <c r="BK185" s="31"/>
    </row>
    <row r="186" spans="1:63" ht="13.9">
      <c r="A186" s="31"/>
      <c r="B186" s="34"/>
      <c r="C186" s="31"/>
      <c r="D186" s="31"/>
      <c r="E186" s="42"/>
      <c r="F186" s="31"/>
      <c r="G186" s="31"/>
      <c r="H186" s="31"/>
      <c r="I186" s="31"/>
      <c r="J186" s="31"/>
      <c r="K186" s="31"/>
      <c r="L186" s="23"/>
      <c r="M186" s="40"/>
      <c r="N186" s="40"/>
      <c r="O186" s="40"/>
      <c r="P186" s="40"/>
      <c r="Q186" s="23"/>
      <c r="R186" s="40"/>
      <c r="S186" s="23"/>
      <c r="T186" s="23"/>
      <c r="U186" s="23"/>
      <c r="V186" s="23"/>
      <c r="W186" s="31"/>
      <c r="X186" s="23"/>
      <c r="Y186" s="23"/>
      <c r="Z186" s="40"/>
      <c r="AA186" s="23"/>
      <c r="AB186" s="23"/>
      <c r="AC186" s="40"/>
      <c r="AD186" s="41"/>
      <c r="AE186" s="23"/>
      <c r="AF186" s="40"/>
      <c r="AG186" s="41"/>
      <c r="AH186" s="23"/>
      <c r="AI186" s="40"/>
      <c r="AJ186" s="23"/>
      <c r="AK186" s="23"/>
      <c r="AL186" s="23"/>
      <c r="AM186" s="23"/>
      <c r="AN186" s="23"/>
      <c r="AO186" s="23"/>
      <c r="AP186" s="23"/>
      <c r="AQ186" s="23"/>
      <c r="AR186" s="23"/>
      <c r="AS186" s="31"/>
      <c r="AT186" s="31"/>
      <c r="AU186" s="23"/>
      <c r="AV186" s="23"/>
      <c r="AW186" s="23"/>
      <c r="AX186" s="31"/>
      <c r="AY186" s="23"/>
      <c r="AZ186" s="23"/>
      <c r="BA186" s="23"/>
      <c r="BB186" s="31"/>
      <c r="BC186" s="31"/>
      <c r="BD186" s="31"/>
      <c r="BE186" s="31"/>
      <c r="BF186" s="31"/>
      <c r="BG186" s="31"/>
      <c r="BH186" s="31"/>
      <c r="BI186" s="23"/>
      <c r="BJ186" s="31"/>
      <c r="BK186" s="31"/>
    </row>
    <row r="187" spans="1:63" ht="13.9">
      <c r="A187" s="31"/>
      <c r="B187" s="34"/>
      <c r="C187" s="31"/>
      <c r="D187" s="31"/>
      <c r="E187" s="42"/>
      <c r="F187" s="31"/>
      <c r="G187" s="31"/>
      <c r="H187" s="31"/>
      <c r="I187" s="31"/>
      <c r="J187" s="31"/>
      <c r="K187" s="31"/>
      <c r="L187" s="23"/>
      <c r="M187" s="40"/>
      <c r="N187" s="40"/>
      <c r="O187" s="40"/>
      <c r="P187" s="40"/>
      <c r="Q187" s="23"/>
      <c r="R187" s="40"/>
      <c r="S187" s="23"/>
      <c r="T187" s="23"/>
      <c r="U187" s="23"/>
      <c r="V187" s="23"/>
      <c r="W187" s="31"/>
      <c r="X187" s="23"/>
      <c r="Y187" s="23"/>
      <c r="Z187" s="40"/>
      <c r="AA187" s="23"/>
      <c r="AB187" s="23"/>
      <c r="AC187" s="40"/>
      <c r="AD187" s="41"/>
      <c r="AE187" s="23"/>
      <c r="AF187" s="40"/>
      <c r="AG187" s="41"/>
      <c r="AH187" s="23"/>
      <c r="AI187" s="40"/>
      <c r="AJ187" s="23"/>
      <c r="AK187" s="23"/>
      <c r="AL187" s="23"/>
      <c r="AM187" s="23"/>
      <c r="AN187" s="23"/>
      <c r="AO187" s="23"/>
      <c r="AP187" s="23"/>
      <c r="AQ187" s="23"/>
      <c r="AR187" s="23"/>
      <c r="AS187" s="31"/>
      <c r="AT187" s="31"/>
      <c r="AU187" s="23"/>
      <c r="AV187" s="23"/>
      <c r="AW187" s="23"/>
      <c r="AX187" s="31"/>
      <c r="AY187" s="23"/>
      <c r="AZ187" s="23"/>
      <c r="BA187" s="23"/>
      <c r="BB187" s="31"/>
      <c r="BC187" s="31"/>
      <c r="BD187" s="31"/>
      <c r="BE187" s="31"/>
      <c r="BF187" s="31"/>
      <c r="BG187" s="31"/>
      <c r="BH187" s="31"/>
      <c r="BI187" s="23"/>
      <c r="BJ187" s="31"/>
      <c r="BK187" s="31"/>
    </row>
    <row r="188" spans="1:63" ht="13.9">
      <c r="A188" s="31"/>
      <c r="B188" s="34"/>
      <c r="C188" s="31"/>
      <c r="D188" s="31"/>
      <c r="E188" s="42"/>
      <c r="F188" s="31"/>
      <c r="G188" s="31"/>
      <c r="H188" s="31"/>
      <c r="I188" s="31"/>
      <c r="J188" s="31"/>
      <c r="K188" s="31"/>
      <c r="L188" s="23"/>
      <c r="M188" s="40"/>
      <c r="N188" s="40"/>
      <c r="O188" s="40"/>
      <c r="P188" s="40"/>
      <c r="Q188" s="23"/>
      <c r="R188" s="40"/>
      <c r="S188" s="23"/>
      <c r="T188" s="23"/>
      <c r="U188" s="23"/>
      <c r="V188" s="23"/>
      <c r="W188" s="31"/>
      <c r="X188" s="23"/>
      <c r="Y188" s="23"/>
      <c r="Z188" s="40"/>
      <c r="AA188" s="23"/>
      <c r="AB188" s="23"/>
      <c r="AC188" s="40"/>
      <c r="AD188" s="41"/>
      <c r="AE188" s="23"/>
      <c r="AF188" s="40"/>
      <c r="AG188" s="41"/>
      <c r="AH188" s="23"/>
      <c r="AI188" s="40"/>
      <c r="AJ188" s="23"/>
      <c r="AK188" s="23"/>
      <c r="AL188" s="23"/>
      <c r="AM188" s="23"/>
      <c r="AN188" s="23"/>
      <c r="AO188" s="23"/>
      <c r="AP188" s="23"/>
      <c r="AQ188" s="23"/>
      <c r="AR188" s="23"/>
      <c r="AS188" s="31"/>
      <c r="AT188" s="31"/>
      <c r="AU188" s="23"/>
      <c r="AV188" s="23"/>
      <c r="AW188" s="23"/>
      <c r="AX188" s="31"/>
      <c r="AY188" s="23"/>
      <c r="AZ188" s="23"/>
      <c r="BA188" s="23"/>
      <c r="BB188" s="31"/>
      <c r="BC188" s="31"/>
      <c r="BD188" s="31"/>
      <c r="BE188" s="31"/>
      <c r="BF188" s="31"/>
      <c r="BG188" s="31"/>
      <c r="BH188" s="31"/>
      <c r="BI188" s="23"/>
      <c r="BJ188" s="31"/>
      <c r="BK188" s="31"/>
    </row>
  </sheetData>
  <conditionalFormatting sqref="V1:V188">
    <cfRule type="notContainsBlanks" dxfId="2" priority="1">
      <formula>LEN(TRIM(W1))&gt;0</formula>
    </cfRule>
  </conditionalFormatting>
  <conditionalFormatting sqref="AB1 AB90:AB188 AB3:AB88">
    <cfRule type="expression" dxfId="1" priority="2">
      <formula>VALUE(LEFT(AC2,FIND("/",AC2)-1))&lt;=12</formula>
    </cfRule>
  </conditionalFormatting>
  <conditionalFormatting sqref="AB2 AB89">
    <cfRule type="expression" dxfId="0" priority="7">
      <formula>VALUE(LEFT(#REF!,FIND("/",#REF!)-1))&lt;=12</formula>
    </cfRule>
  </conditionalFormatting>
  <dataValidations count="4">
    <dataValidation type="list" allowBlank="1" showErrorMessage="1" sqref="W2:W89" xr:uid="{00000000-0002-0000-0000-000001000000}">
      <formula1>"Anusha,Amith,Pratham,Thanush,Fiona,not assigned,pranav bhat,Abhishek,Ayush,Thilak,Pramith"</formula1>
    </dataValidation>
    <dataValidation type="list" allowBlank="1" showErrorMessage="1" sqref="R1:R89" xr:uid="{00000000-0002-0000-0000-000002000000}">
      <formula1>"APPLICATION FILING RECEIPT,RECEIVED,NOT RECEIVED"</formula1>
    </dataValidation>
    <dataValidation type="list" allowBlank="1" showErrorMessage="1" sqref="N1:N89" xr:uid="{00000000-0002-0000-0000-000006000000}">
      <formula1>"POST DATE ALLOWED,YES,NO"</formula1>
    </dataValidation>
    <dataValidation type="list" allowBlank="1" sqref="BG1:BG188" xr:uid="{00000000-0002-0000-0000-000004000000}">
      <formula1>"Purple IDF,Orange,Grey,Yellow,Green,Color Code Status,No Trail,Purple Checklist,Red"</formula1>
    </dataValidation>
  </dataValidation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Pranav Bhat</cp:lastModifiedBy>
  <dcterms:modified xsi:type="dcterms:W3CDTF">2026-10-26T10:57:29Z</dcterms:modified>
</cp:coreProperties>
</file>